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IN57KC\data\Projekte\Kotlin\finance\src\test\resources\"/>
    </mc:Choice>
  </mc:AlternateContent>
  <xr:revisionPtr revIDLastSave="0" documentId="13_ncr:1_{819C0101-705B-4DCD-A477-844CFA5D30A8}" xr6:coauthVersionLast="47" xr6:coauthVersionMax="47" xr10:uidLastSave="{00000000-0000-0000-0000-000000000000}"/>
  <bookViews>
    <workbookView xWindow="2688" yWindow="2688" windowWidth="23040" windowHeight="12060" xr2:uid="{71C33767-26AA-436A-B5B3-4D1F6BAC43C2}"/>
  </bookViews>
  <sheets>
    <sheet name="2021" sheetId="5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6" i="50" l="1"/>
  <c r="E172" i="50"/>
  <c r="P148" i="50" l="1"/>
  <c r="Q148" i="50" s="1"/>
  <c r="D172" i="50" l="1"/>
  <c r="D163" i="50"/>
  <c r="R177" i="50"/>
  <c r="R176" i="50"/>
  <c r="R175" i="50"/>
  <c r="R174" i="50"/>
  <c r="R173" i="50"/>
  <c r="R171" i="50"/>
  <c r="R170" i="50"/>
  <c r="R169" i="50"/>
  <c r="R168" i="50"/>
  <c r="R167" i="50"/>
  <c r="R166" i="50"/>
  <c r="R165" i="50"/>
  <c r="R164" i="50"/>
  <c r="S164" i="50" s="1"/>
  <c r="R163" i="50"/>
  <c r="R162" i="50"/>
  <c r="R161" i="50"/>
  <c r="R12" i="50"/>
  <c r="R10" i="50"/>
  <c r="R9" i="50"/>
  <c r="R11" i="50"/>
  <c r="R8" i="50"/>
  <c r="R7" i="50"/>
  <c r="S7" i="50" s="1"/>
  <c r="R6" i="50"/>
  <c r="R5" i="50"/>
  <c r="R4" i="50"/>
  <c r="S4" i="50" s="1"/>
  <c r="R3" i="50"/>
  <c r="P116" i="50"/>
  <c r="Q116" i="50" s="1"/>
  <c r="P134" i="50"/>
  <c r="Q134" i="50" s="1"/>
  <c r="O176" i="50"/>
  <c r="N176" i="50"/>
  <c r="M176" i="50"/>
  <c r="L176" i="50"/>
  <c r="K176" i="50"/>
  <c r="J176" i="50"/>
  <c r="I176" i="50"/>
  <c r="H176" i="50"/>
  <c r="G176" i="50"/>
  <c r="F176" i="50"/>
  <c r="D176" i="50"/>
  <c r="O175" i="50"/>
  <c r="N175" i="50"/>
  <c r="M175" i="50"/>
  <c r="L175" i="50"/>
  <c r="K175" i="50"/>
  <c r="J175" i="50"/>
  <c r="I175" i="50"/>
  <c r="H175" i="50"/>
  <c r="G175" i="50"/>
  <c r="F175" i="50"/>
  <c r="E175" i="50"/>
  <c r="D175" i="50"/>
  <c r="O174" i="50"/>
  <c r="N174" i="50"/>
  <c r="M174" i="50"/>
  <c r="L174" i="50"/>
  <c r="K174" i="50"/>
  <c r="J174" i="50"/>
  <c r="I174" i="50"/>
  <c r="H174" i="50"/>
  <c r="G174" i="50"/>
  <c r="F174" i="50"/>
  <c r="E174" i="50"/>
  <c r="D174" i="50"/>
  <c r="O173" i="50"/>
  <c r="N173" i="50"/>
  <c r="M173" i="50"/>
  <c r="L173" i="50"/>
  <c r="K173" i="50"/>
  <c r="J173" i="50"/>
  <c r="I173" i="50"/>
  <c r="H173" i="50"/>
  <c r="G173" i="50"/>
  <c r="F173" i="50"/>
  <c r="E173" i="50"/>
  <c r="D173" i="50"/>
  <c r="O172" i="50"/>
  <c r="N172" i="50"/>
  <c r="M172" i="50"/>
  <c r="L172" i="50"/>
  <c r="K172" i="50"/>
  <c r="J172" i="50"/>
  <c r="I172" i="50"/>
  <c r="H172" i="50"/>
  <c r="G172" i="50"/>
  <c r="F172" i="50"/>
  <c r="O171" i="50"/>
  <c r="N171" i="50"/>
  <c r="M171" i="50"/>
  <c r="L171" i="50"/>
  <c r="K171" i="50"/>
  <c r="J171" i="50"/>
  <c r="I171" i="50"/>
  <c r="H171" i="50"/>
  <c r="G171" i="50"/>
  <c r="F171" i="50"/>
  <c r="E171" i="50"/>
  <c r="D171" i="50"/>
  <c r="O170" i="50"/>
  <c r="N170" i="50"/>
  <c r="M170" i="50"/>
  <c r="L170" i="50"/>
  <c r="K170" i="50"/>
  <c r="J170" i="50"/>
  <c r="I170" i="50"/>
  <c r="H170" i="50"/>
  <c r="G170" i="50"/>
  <c r="F170" i="50"/>
  <c r="E170" i="50"/>
  <c r="D170" i="50"/>
  <c r="O169" i="50"/>
  <c r="N169" i="50"/>
  <c r="M169" i="50"/>
  <c r="L169" i="50"/>
  <c r="K169" i="50"/>
  <c r="J169" i="50"/>
  <c r="I169" i="50"/>
  <c r="H169" i="50"/>
  <c r="G169" i="50"/>
  <c r="F169" i="50"/>
  <c r="E169" i="50"/>
  <c r="D169" i="50"/>
  <c r="O168" i="50"/>
  <c r="N168" i="50"/>
  <c r="M168" i="50"/>
  <c r="L168" i="50"/>
  <c r="K168" i="50"/>
  <c r="J168" i="50"/>
  <c r="I168" i="50"/>
  <c r="H168" i="50"/>
  <c r="G168" i="50"/>
  <c r="F168" i="50"/>
  <c r="E168" i="50"/>
  <c r="D168" i="50"/>
  <c r="O167" i="50"/>
  <c r="N167" i="50"/>
  <c r="M167" i="50"/>
  <c r="L167" i="50"/>
  <c r="K167" i="50"/>
  <c r="J167" i="50"/>
  <c r="I167" i="50"/>
  <c r="H167" i="50"/>
  <c r="G167" i="50"/>
  <c r="F167" i="50"/>
  <c r="E167" i="50"/>
  <c r="D167" i="50"/>
  <c r="O166" i="50"/>
  <c r="N166" i="50"/>
  <c r="M166" i="50"/>
  <c r="L166" i="50"/>
  <c r="K166" i="50"/>
  <c r="J166" i="50"/>
  <c r="I166" i="50"/>
  <c r="H166" i="50"/>
  <c r="G166" i="50"/>
  <c r="F166" i="50"/>
  <c r="E166" i="50"/>
  <c r="D166" i="50"/>
  <c r="O165" i="50"/>
  <c r="N165" i="50"/>
  <c r="M165" i="50"/>
  <c r="L165" i="50"/>
  <c r="K165" i="50"/>
  <c r="J165" i="50"/>
  <c r="I165" i="50"/>
  <c r="H165" i="50"/>
  <c r="G165" i="50"/>
  <c r="F165" i="50"/>
  <c r="E165" i="50"/>
  <c r="D165" i="50"/>
  <c r="O164" i="50"/>
  <c r="N164" i="50"/>
  <c r="M164" i="50"/>
  <c r="L164" i="50"/>
  <c r="K164" i="50"/>
  <c r="J164" i="50"/>
  <c r="I164" i="50"/>
  <c r="H164" i="50"/>
  <c r="G164" i="50"/>
  <c r="F164" i="50"/>
  <c r="E164" i="50"/>
  <c r="D164" i="50"/>
  <c r="O163" i="50"/>
  <c r="N163" i="50"/>
  <c r="M163" i="50"/>
  <c r="L163" i="50"/>
  <c r="K163" i="50"/>
  <c r="J163" i="50"/>
  <c r="I163" i="50"/>
  <c r="H163" i="50"/>
  <c r="G163" i="50"/>
  <c r="F163" i="50"/>
  <c r="E163" i="50"/>
  <c r="O162" i="50"/>
  <c r="N162" i="50"/>
  <c r="M162" i="50"/>
  <c r="L162" i="50"/>
  <c r="K162" i="50"/>
  <c r="J162" i="50"/>
  <c r="I162" i="50"/>
  <c r="H162" i="50"/>
  <c r="G162" i="50"/>
  <c r="F162" i="50"/>
  <c r="E162" i="50"/>
  <c r="D162" i="50"/>
  <c r="O161" i="50"/>
  <c r="N161" i="50"/>
  <c r="M161" i="50"/>
  <c r="L161" i="50"/>
  <c r="K161" i="50"/>
  <c r="J161" i="50"/>
  <c r="I161" i="50"/>
  <c r="H161" i="50"/>
  <c r="G161" i="50"/>
  <c r="F161" i="50"/>
  <c r="E161" i="50"/>
  <c r="D161" i="50"/>
  <c r="O158" i="50"/>
  <c r="N158" i="50"/>
  <c r="M158" i="50"/>
  <c r="L158" i="50"/>
  <c r="K158" i="50"/>
  <c r="J158" i="50"/>
  <c r="I158" i="50"/>
  <c r="H158" i="50"/>
  <c r="G158" i="50"/>
  <c r="F158" i="50"/>
  <c r="E158" i="50"/>
  <c r="D158" i="50"/>
  <c r="O157" i="50"/>
  <c r="N157" i="50"/>
  <c r="M157" i="50"/>
  <c r="L157" i="50"/>
  <c r="K157" i="50"/>
  <c r="J157" i="50"/>
  <c r="I157" i="50"/>
  <c r="H157" i="50"/>
  <c r="G157" i="50"/>
  <c r="F157" i="50"/>
  <c r="E157" i="50"/>
  <c r="D157" i="50"/>
  <c r="O156" i="50"/>
  <c r="N156" i="50"/>
  <c r="M156" i="50"/>
  <c r="L156" i="50"/>
  <c r="K156" i="50"/>
  <c r="J156" i="50"/>
  <c r="I156" i="50"/>
  <c r="H156" i="50"/>
  <c r="G156" i="50"/>
  <c r="F156" i="50"/>
  <c r="E156" i="50"/>
  <c r="D156" i="50"/>
  <c r="O155" i="50"/>
  <c r="N155" i="50"/>
  <c r="M155" i="50"/>
  <c r="L155" i="50"/>
  <c r="K155" i="50"/>
  <c r="J155" i="50"/>
  <c r="I155" i="50"/>
  <c r="H155" i="50"/>
  <c r="G155" i="50"/>
  <c r="F155" i="50"/>
  <c r="E155" i="50"/>
  <c r="D155" i="50"/>
  <c r="O154" i="50"/>
  <c r="N154" i="50"/>
  <c r="M154" i="50"/>
  <c r="L154" i="50"/>
  <c r="K154" i="50"/>
  <c r="J154" i="50"/>
  <c r="I154" i="50"/>
  <c r="H154" i="50"/>
  <c r="G154" i="50"/>
  <c r="F154" i="50"/>
  <c r="E154" i="50"/>
  <c r="D154" i="50"/>
  <c r="P149" i="50"/>
  <c r="Q149" i="50" s="1"/>
  <c r="P147" i="50"/>
  <c r="Q147" i="50" s="1"/>
  <c r="P146" i="50"/>
  <c r="Q146" i="50" s="1"/>
  <c r="P145" i="50"/>
  <c r="Q145" i="50" s="1"/>
  <c r="P144" i="50"/>
  <c r="Q144" i="50" s="1"/>
  <c r="P143" i="50"/>
  <c r="Q143" i="50" s="1"/>
  <c r="P142" i="50"/>
  <c r="Q142" i="50" s="1"/>
  <c r="P141" i="50"/>
  <c r="Q141" i="50" s="1"/>
  <c r="P140" i="50"/>
  <c r="Q140" i="50" s="1"/>
  <c r="P139" i="50"/>
  <c r="Q139" i="50" s="1"/>
  <c r="P138" i="50"/>
  <c r="Q138" i="50" s="1"/>
  <c r="P137" i="50"/>
  <c r="Q137" i="50" s="1"/>
  <c r="P135" i="50"/>
  <c r="Q135" i="50" s="1"/>
  <c r="P132" i="50"/>
  <c r="Q132" i="50" s="1"/>
  <c r="P131" i="50"/>
  <c r="Q131" i="50" s="1"/>
  <c r="P130" i="50"/>
  <c r="Q130" i="50" s="1"/>
  <c r="P129" i="50"/>
  <c r="Q129" i="50" s="1"/>
  <c r="P128" i="50"/>
  <c r="Q128" i="50" s="1"/>
  <c r="P127" i="50"/>
  <c r="Q127" i="50" s="1"/>
  <c r="P126" i="50"/>
  <c r="Q126" i="50" s="1"/>
  <c r="P125" i="50"/>
  <c r="Q125" i="50" s="1"/>
  <c r="P124" i="50"/>
  <c r="Q124" i="50" s="1"/>
  <c r="P123" i="50"/>
  <c r="Q123" i="50" s="1"/>
  <c r="P122" i="50"/>
  <c r="Q122" i="50" s="1"/>
  <c r="P121" i="50"/>
  <c r="Q121" i="50" s="1"/>
  <c r="P120" i="50"/>
  <c r="Q120" i="50" s="1"/>
  <c r="P119" i="50"/>
  <c r="Q119" i="50" s="1"/>
  <c r="P118" i="50"/>
  <c r="Q118" i="50" s="1"/>
  <c r="P115" i="50"/>
  <c r="Q115" i="50" s="1"/>
  <c r="P113" i="50"/>
  <c r="Q113" i="50" s="1"/>
  <c r="P111" i="50"/>
  <c r="Q111" i="50" s="1"/>
  <c r="P109" i="50"/>
  <c r="Q109" i="50" s="1"/>
  <c r="P108" i="50"/>
  <c r="Q108" i="50" s="1"/>
  <c r="P107" i="50"/>
  <c r="Q107" i="50" s="1"/>
  <c r="P106" i="50"/>
  <c r="Q106" i="50" s="1"/>
  <c r="P105" i="50"/>
  <c r="Q105" i="50" s="1"/>
  <c r="P104" i="50"/>
  <c r="Q104" i="50" s="1"/>
  <c r="P102" i="50"/>
  <c r="Q102" i="50" s="1"/>
  <c r="P101" i="50"/>
  <c r="Q101" i="50" s="1"/>
  <c r="P100" i="50"/>
  <c r="Q100" i="50" s="1"/>
  <c r="P99" i="50"/>
  <c r="Q99" i="50" s="1"/>
  <c r="P97" i="50"/>
  <c r="Q97" i="50" s="1"/>
  <c r="P92" i="50"/>
  <c r="Q92" i="50" s="1"/>
  <c r="P91" i="50"/>
  <c r="Q91" i="50" s="1"/>
  <c r="P90" i="50"/>
  <c r="Q90" i="50" s="1"/>
  <c r="P89" i="50"/>
  <c r="Q89" i="50" s="1"/>
  <c r="P88" i="50"/>
  <c r="Q88" i="50" s="1"/>
  <c r="P87" i="50"/>
  <c r="Q87" i="50" s="1"/>
  <c r="P86" i="50"/>
  <c r="Q86" i="50" s="1"/>
  <c r="P85" i="50"/>
  <c r="Q85" i="50" s="1"/>
  <c r="P83" i="50"/>
  <c r="Q83" i="50" s="1"/>
  <c r="P82" i="50"/>
  <c r="Q82" i="50" s="1"/>
  <c r="P80" i="50"/>
  <c r="Q80" i="50" s="1"/>
  <c r="P79" i="50"/>
  <c r="Q79" i="50" s="1"/>
  <c r="P78" i="50"/>
  <c r="Q78" i="50" s="1"/>
  <c r="P77" i="50"/>
  <c r="Q77" i="50" s="1"/>
  <c r="P76" i="50"/>
  <c r="Q76" i="50" s="1"/>
  <c r="P75" i="50"/>
  <c r="Q75" i="50" s="1"/>
  <c r="P74" i="50"/>
  <c r="Q74" i="50" s="1"/>
  <c r="P73" i="50"/>
  <c r="Q73" i="50" s="1"/>
  <c r="P71" i="50"/>
  <c r="Q71" i="50" s="1"/>
  <c r="P70" i="50"/>
  <c r="Q70" i="50" s="1"/>
  <c r="P69" i="50"/>
  <c r="Q69" i="50" s="1"/>
  <c r="P68" i="50"/>
  <c r="Q68" i="50" s="1"/>
  <c r="P67" i="50"/>
  <c r="Q67" i="50" s="1"/>
  <c r="P66" i="50"/>
  <c r="Q66" i="50" s="1"/>
  <c r="P64" i="50"/>
  <c r="Q64" i="50" s="1"/>
  <c r="P63" i="50"/>
  <c r="Q63" i="50" s="1"/>
  <c r="P62" i="50"/>
  <c r="Q62" i="50" s="1"/>
  <c r="P61" i="50"/>
  <c r="Q61" i="50" s="1"/>
  <c r="P60" i="50"/>
  <c r="Q60" i="50" s="1"/>
  <c r="P59" i="50"/>
  <c r="Q59" i="50" s="1"/>
  <c r="P57" i="50"/>
  <c r="Q57" i="50" s="1"/>
  <c r="P55" i="50"/>
  <c r="Q55" i="50" s="1"/>
  <c r="P53" i="50"/>
  <c r="Q53" i="50" s="1"/>
  <c r="P52" i="50"/>
  <c r="Q52" i="50" s="1"/>
  <c r="P51" i="50"/>
  <c r="Q51" i="50" s="1"/>
  <c r="P50" i="50"/>
  <c r="Q50" i="50" s="1"/>
  <c r="P49" i="50"/>
  <c r="Q49" i="50" s="1"/>
  <c r="P48" i="50"/>
  <c r="Q48" i="50" s="1"/>
  <c r="P47" i="50"/>
  <c r="Q47" i="50" s="1"/>
  <c r="P46" i="50"/>
  <c r="Q46" i="50" s="1"/>
  <c r="P45" i="50"/>
  <c r="Q45" i="50" s="1"/>
  <c r="P44" i="50"/>
  <c r="Q44" i="50" s="1"/>
  <c r="P43" i="50"/>
  <c r="Q43" i="50" s="1"/>
  <c r="P41" i="50"/>
  <c r="Q41" i="50" s="1"/>
  <c r="P40" i="50"/>
  <c r="Q40" i="50" s="1"/>
  <c r="P39" i="50"/>
  <c r="Q39" i="50" s="1"/>
  <c r="P38" i="50"/>
  <c r="Q38" i="50" s="1"/>
  <c r="P37" i="50"/>
  <c r="Q37" i="50" s="1"/>
  <c r="P36" i="50"/>
  <c r="Q36" i="50" s="1"/>
  <c r="P12" i="50"/>
  <c r="Q12" i="50" s="1"/>
  <c r="P11" i="50"/>
  <c r="Q11" i="50" s="1"/>
  <c r="P10" i="50"/>
  <c r="Q10" i="50" s="1"/>
  <c r="P9" i="50"/>
  <c r="Q9" i="50" s="1"/>
  <c r="P8" i="50"/>
  <c r="Q8" i="50" s="1"/>
  <c r="P7" i="50"/>
  <c r="Q7" i="50" s="1"/>
  <c r="P6" i="50"/>
  <c r="Q6" i="50" s="1"/>
  <c r="P5" i="50"/>
  <c r="Q5" i="50" s="1"/>
  <c r="P4" i="50"/>
  <c r="Q4" i="50" s="1"/>
  <c r="P3" i="50"/>
  <c r="Q3" i="50" s="1"/>
  <c r="S3" i="50" l="1"/>
  <c r="S11" i="50"/>
  <c r="S8" i="50"/>
  <c r="S6" i="50"/>
  <c r="S5" i="50"/>
  <c r="S9" i="50"/>
  <c r="S10" i="50"/>
  <c r="S12" i="50"/>
  <c r="P172" i="50"/>
  <c r="Q172" i="50" s="1"/>
  <c r="P171" i="50"/>
  <c r="Q171" i="50" s="1"/>
  <c r="P170" i="50"/>
  <c r="Q170" i="50" s="1"/>
  <c r="T170" i="50" s="1"/>
  <c r="U170" i="50" s="1"/>
  <c r="T3" i="50"/>
  <c r="U3" i="50" s="1"/>
  <c r="T4" i="50"/>
  <c r="U4" i="50" s="1"/>
  <c r="P169" i="50"/>
  <c r="Q169" i="50" s="1"/>
  <c r="T169" i="50" s="1"/>
  <c r="U169" i="50" s="1"/>
  <c r="P168" i="50"/>
  <c r="Q168" i="50" s="1"/>
  <c r="S168" i="50" s="1"/>
  <c r="P174" i="50"/>
  <c r="Q174" i="50" s="1"/>
  <c r="S174" i="50" s="1"/>
  <c r="P173" i="50"/>
  <c r="Q173" i="50" s="1"/>
  <c r="T173" i="50" s="1"/>
  <c r="U173" i="50" s="1"/>
  <c r="P161" i="50"/>
  <c r="Q161" i="50" s="1"/>
  <c r="S161" i="50" s="1"/>
  <c r="O177" i="50"/>
  <c r="H177" i="50"/>
  <c r="N177" i="50"/>
  <c r="E177" i="50"/>
  <c r="K177" i="50"/>
  <c r="T9" i="50"/>
  <c r="U9" i="50" s="1"/>
  <c r="T12" i="50"/>
  <c r="U12" i="50" s="1"/>
  <c r="T6" i="50"/>
  <c r="U6" i="50" s="1"/>
  <c r="P162" i="50"/>
  <c r="Q162" i="50" s="1"/>
  <c r="P176" i="50"/>
  <c r="Q176" i="50" s="1"/>
  <c r="I177" i="50"/>
  <c r="T8" i="50"/>
  <c r="U8" i="50" s="1"/>
  <c r="J177" i="50"/>
  <c r="P175" i="50"/>
  <c r="Q175" i="50" s="1"/>
  <c r="P167" i="50"/>
  <c r="Q167" i="50" s="1"/>
  <c r="T5" i="50"/>
  <c r="U5" i="50" s="1"/>
  <c r="T11" i="50"/>
  <c r="U11" i="50" s="1"/>
  <c r="M177" i="50"/>
  <c r="F177" i="50"/>
  <c r="G177" i="50"/>
  <c r="L177" i="50"/>
  <c r="D177" i="50"/>
  <c r="T7" i="50"/>
  <c r="U7" i="50" s="1"/>
  <c r="P166" i="50"/>
  <c r="Q166" i="50" s="1"/>
  <c r="P163" i="50"/>
  <c r="Q163" i="50" s="1"/>
  <c r="P165" i="50"/>
  <c r="Q165" i="50" s="1"/>
  <c r="P164" i="50"/>
  <c r="Q164" i="50" s="1"/>
  <c r="T164" i="50" s="1"/>
  <c r="U164" i="50" s="1"/>
  <c r="S169" i="50" l="1"/>
  <c r="S170" i="50"/>
  <c r="T168" i="50"/>
  <c r="U168" i="50" s="1"/>
  <c r="T161" i="50"/>
  <c r="U161" i="50" s="1"/>
  <c r="S173" i="50"/>
  <c r="T174" i="50"/>
  <c r="U174" i="50" s="1"/>
  <c r="T176" i="50"/>
  <c r="U176" i="50" s="1"/>
  <c r="S176" i="50"/>
  <c r="T162" i="50"/>
  <c r="U162" i="50" s="1"/>
  <c r="S162" i="50"/>
  <c r="T165" i="50"/>
  <c r="U165" i="50" s="1"/>
  <c r="S165" i="50"/>
  <c r="S163" i="50"/>
  <c r="T163" i="50"/>
  <c r="U163" i="50" s="1"/>
  <c r="T166" i="50"/>
  <c r="U166" i="50" s="1"/>
  <c r="S166" i="50"/>
  <c r="P177" i="50"/>
  <c r="T167" i="50"/>
  <c r="U167" i="50" s="1"/>
  <c r="S167" i="50"/>
  <c r="T175" i="50"/>
  <c r="U175" i="50" s="1"/>
  <c r="S175" i="50"/>
  <c r="Q177" i="50" l="1"/>
  <c r="S177" i="50" s="1"/>
  <c r="T177" i="50" l="1"/>
  <c r="U177" i="50" s="1"/>
  <c r="R172" i="50" l="1"/>
  <c r="T172" i="50" l="1"/>
  <c r="U172" i="50" s="1"/>
  <c r="S172" i="50"/>
</calcChain>
</file>

<file path=xl/sharedStrings.xml><?xml version="1.0" encoding="utf-8"?>
<sst xmlns="http://schemas.openxmlformats.org/spreadsheetml/2006/main" count="199" uniqueCount="178">
  <si>
    <t>Januar</t>
  </si>
  <si>
    <t>Februar</t>
  </si>
  <si>
    <t>Klamotten</t>
  </si>
  <si>
    <t>Urlaub</t>
  </si>
  <si>
    <t>März</t>
  </si>
  <si>
    <t>April</t>
  </si>
  <si>
    <t>Mai</t>
  </si>
  <si>
    <t>Juni</t>
  </si>
  <si>
    <t>Juli</t>
  </si>
  <si>
    <t>August</t>
  </si>
  <si>
    <t>September</t>
  </si>
  <si>
    <t>November</t>
  </si>
  <si>
    <t>Oktober</t>
  </si>
  <si>
    <t>Dezember</t>
  </si>
  <si>
    <t>Steuerrückzahlung</t>
  </si>
  <si>
    <t>Spesen</t>
  </si>
  <si>
    <t>Gesamt</t>
  </si>
  <si>
    <t>Freizeit</t>
  </si>
  <si>
    <t>Vereinsgebühren</t>
  </si>
  <si>
    <t>Geschenke / Party</t>
  </si>
  <si>
    <t>Computer / Elektronik</t>
  </si>
  <si>
    <t>Hausausbau</t>
  </si>
  <si>
    <t>Telefon</t>
  </si>
  <si>
    <t>Gesundheit Laura</t>
  </si>
  <si>
    <t>Gesundheit Torsten</t>
  </si>
  <si>
    <t>Einnahmen</t>
  </si>
  <si>
    <t>Gehalt Torsten</t>
  </si>
  <si>
    <t>Position</t>
  </si>
  <si>
    <t>Kindergeld</t>
  </si>
  <si>
    <t>Gehalt Simone</t>
  </si>
  <si>
    <t>VBBA - Gewerkschaft</t>
  </si>
  <si>
    <t>Kirchensteuer</t>
  </si>
  <si>
    <t>Gesundheit Simone</t>
  </si>
  <si>
    <t>HUK Coburg - Krankenversicherung</t>
  </si>
  <si>
    <t>HUK Coburg - Pflegeversicherung</t>
  </si>
  <si>
    <t>Rundfunk ARD, ZDF, Radio</t>
  </si>
  <si>
    <t>Versicherungen</t>
  </si>
  <si>
    <t>Auto</t>
  </si>
  <si>
    <t>Gesundheit</t>
  </si>
  <si>
    <t>Telekom</t>
  </si>
  <si>
    <t>Gewinn</t>
  </si>
  <si>
    <t>Vermögen</t>
  </si>
  <si>
    <t>Monatsabrechnung</t>
  </si>
  <si>
    <t>pro Monat</t>
  </si>
  <si>
    <t>Vorjahr</t>
  </si>
  <si>
    <t>Grundsteuer (Haus)</t>
  </si>
  <si>
    <t>Grundsteuer (Acker)</t>
  </si>
  <si>
    <t>Drogeriemarkt</t>
  </si>
  <si>
    <t>Haftpflichtkasse Darmstadt (Haftpflicht)</t>
  </si>
  <si>
    <t>Garten</t>
  </si>
  <si>
    <t>Vorjahr absolut</t>
  </si>
  <si>
    <t>Vorjahr Prozent</t>
  </si>
  <si>
    <t>Gesundheit Tobias</t>
  </si>
  <si>
    <t>Haus - Nebenkosten</t>
  </si>
  <si>
    <t>Haus-Nebenkosten</t>
  </si>
  <si>
    <t>Lebensmittel</t>
  </si>
  <si>
    <t>Amazon Prime</t>
  </si>
  <si>
    <t>DJH</t>
  </si>
  <si>
    <t>Audible</t>
  </si>
  <si>
    <t>Steuern</t>
  </si>
  <si>
    <t>Rundfunkgebühren</t>
  </si>
  <si>
    <t>Vorjahr pro Monat</t>
  </si>
  <si>
    <t>prozentual</t>
  </si>
  <si>
    <t>absolut</t>
  </si>
  <si>
    <t>gesamt absolut</t>
  </si>
  <si>
    <t>HUK24 (Hausratsversichrung)</t>
  </si>
  <si>
    <t>Frisör</t>
  </si>
  <si>
    <t>Buhl-Data-Service-GmbH</t>
  </si>
  <si>
    <t>Hobby - Nähen</t>
  </si>
  <si>
    <t>Dauphin-Druck GmbH</t>
  </si>
  <si>
    <t>Wassergebühren</t>
  </si>
  <si>
    <t>Abwassergebühren</t>
  </si>
  <si>
    <t>Spielzeug</t>
  </si>
  <si>
    <t>Grabpflege</t>
  </si>
  <si>
    <t>Hobby - Laufen</t>
  </si>
  <si>
    <t>Hausrat</t>
  </si>
  <si>
    <t>Kantine</t>
  </si>
  <si>
    <t>Fensterputzer</t>
  </si>
  <si>
    <t>TV Großwallstadt</t>
  </si>
  <si>
    <t>Hobby - Fahrrad</t>
  </si>
  <si>
    <t>Bäcker</t>
  </si>
  <si>
    <t>Schwimmbad</t>
  </si>
  <si>
    <t>Pacht (Acker)</t>
  </si>
  <si>
    <t>Lebenshaltung</t>
  </si>
  <si>
    <t>Geldanlagen - Eltern</t>
  </si>
  <si>
    <t>Geldanlagen - Laura</t>
  </si>
  <si>
    <t>Geldanlagen - Tobias</t>
  </si>
  <si>
    <t>Geldanlagen-Laura</t>
  </si>
  <si>
    <t>Geldanlagen-Tobias</t>
  </si>
  <si>
    <t>Gesundheitsbudget ING</t>
  </si>
  <si>
    <t>Schule</t>
  </si>
  <si>
    <t>Arbeitgeberzuschuss - KV</t>
  </si>
  <si>
    <t>Arbeitgeberzuschuss - PV</t>
  </si>
  <si>
    <t>BVV (Rentenversicherung)</t>
  </si>
  <si>
    <t>Geld von Eltern</t>
  </si>
  <si>
    <t>O2 Anita</t>
  </si>
  <si>
    <t>Depot - ING - Torsten</t>
  </si>
  <si>
    <t>Depot - ING - Laura</t>
  </si>
  <si>
    <t>Depot - ING - Tobias</t>
  </si>
  <si>
    <t>Extrakonto ING - Torsten</t>
  </si>
  <si>
    <t>Extrakonto ING - Simone</t>
  </si>
  <si>
    <t>Extrakonto ING - Laura</t>
  </si>
  <si>
    <t>Extrakonto ING - Tobias</t>
  </si>
  <si>
    <t>Taschengeld</t>
  </si>
  <si>
    <t>ETF Sparplan (Laura)</t>
  </si>
  <si>
    <t>ETF Sparplan (Tobias)</t>
  </si>
  <si>
    <t>HUK-COBURG (Wohngebäude-Versicherung)</t>
  </si>
  <si>
    <t>Heizungsstrom (LichtBlick)</t>
  </si>
  <si>
    <t>HUK Coburg - Beitragsrückerstattung</t>
  </si>
  <si>
    <t>Acker - Nebenkosten</t>
  </si>
  <si>
    <t>Acker-Nebenkosten</t>
  </si>
  <si>
    <t>Taschengeld (Laura)</t>
  </si>
  <si>
    <t>Taschengeld (Tobias)</t>
  </si>
  <si>
    <t>LearnING</t>
  </si>
  <si>
    <t>Hobby - Eisenbahn</t>
  </si>
  <si>
    <t>Hobby - RPG</t>
  </si>
  <si>
    <t>Heizung - Reparatur</t>
  </si>
  <si>
    <t>Abfallgebühren (Müll)</t>
  </si>
  <si>
    <t>Württembergische Versicherng AG (Leben)</t>
  </si>
  <si>
    <t>Hobby - Schwimmen</t>
  </si>
  <si>
    <t>Hausgemacht - Zeitschrift</t>
  </si>
  <si>
    <t>Hobby - Game Programming</t>
  </si>
  <si>
    <t>KERNenergie GmbH</t>
  </si>
  <si>
    <t>Streaming</t>
  </si>
  <si>
    <t>Bücher / Musik</t>
  </si>
  <si>
    <t>Aktien - Eltern</t>
  </si>
  <si>
    <t>Bund Naturschutz e.V</t>
  </si>
  <si>
    <t>MGV (Belcanto)</t>
  </si>
  <si>
    <t>O2 Torsten Smartphone</t>
  </si>
  <si>
    <t>O2 Simone Smartphone</t>
  </si>
  <si>
    <t>O2 Anita Smartphone</t>
  </si>
  <si>
    <t>Rhion Versicherung (Unfallversicherung)</t>
  </si>
  <si>
    <t>Teeshop Aschaffenburg</t>
  </si>
  <si>
    <t>Fotograph</t>
  </si>
  <si>
    <t>Tagesgeldkonto comdirect - Torsten</t>
  </si>
  <si>
    <t>Kleinanzeigen</t>
  </si>
  <si>
    <t>Geschäftsreise</t>
  </si>
  <si>
    <t>MorganFund - Torsten</t>
  </si>
  <si>
    <t>GitHub Copilot</t>
  </si>
  <si>
    <t>EZB (Overnight ETF)</t>
  </si>
  <si>
    <t>BKK Faber Castell (GKK)</t>
  </si>
  <si>
    <t>Haushaltsstrom (AVG)</t>
  </si>
  <si>
    <t>Zinsen - Eltern</t>
  </si>
  <si>
    <t>Einspeichungsstrom (Bayernwerk)</t>
  </si>
  <si>
    <t>Google Storage (Torsten)</t>
  </si>
  <si>
    <t>Google Storage (Simone)</t>
  </si>
  <si>
    <t>Geldanlagen-Eltern-Zinsen</t>
  </si>
  <si>
    <t>Geldanlagen-Eltern-Aktien</t>
  </si>
  <si>
    <t>Schule - HSG Mensa</t>
  </si>
  <si>
    <t>Finanzdienstleitung für Eltern</t>
  </si>
  <si>
    <t>Patreon</t>
  </si>
  <si>
    <t>Extrakonto ING - Gemeinschaftskonto</t>
  </si>
  <si>
    <t>O2 Laura Smartphone</t>
  </si>
  <si>
    <t>Lichtblick Seminar</t>
  </si>
  <si>
    <t>Hyundai Ioniq 5 - Kauf</t>
  </si>
  <si>
    <t>Tagesgeldkonto Postbank - Torsten</t>
  </si>
  <si>
    <t>Hyundai Ioniq 5 - EnBw Ladekarte</t>
  </si>
  <si>
    <t>Hyundai Ioniq 5 - Laden</t>
  </si>
  <si>
    <t>Judo Club Oberburg e.V.</t>
  </si>
  <si>
    <t>Hyundai Ioniq 5 - Hundai Ladekarte</t>
  </si>
  <si>
    <t>Auslandskrankenversicherung (R+V)</t>
  </si>
  <si>
    <t>Hyundai Ioniq 5 - Reparaturen</t>
  </si>
  <si>
    <t>Duoling</t>
  </si>
  <si>
    <t>Spotify</t>
  </si>
  <si>
    <t>Hyundai Ioniq 5 - HUK24</t>
  </si>
  <si>
    <t>Depot - ING - Gemeinschaftskonto</t>
  </si>
  <si>
    <t>Juniorkonto - ING - Laura</t>
  </si>
  <si>
    <t>Juniorkonto - ING - Tobias</t>
  </si>
  <si>
    <t>Garmisch Partenkirchen 2026</t>
  </si>
  <si>
    <t>Tagesgeldkonto Volkswagenbank - Torsten</t>
  </si>
  <si>
    <t>MeinKonto Junior - Raiba - Laura</t>
  </si>
  <si>
    <t>MeinKonto Junior - Raiba - Tobias</t>
  </si>
  <si>
    <t>Blutdruckmessgerät</t>
  </si>
  <si>
    <t>Bluddruckmessgerät</t>
  </si>
  <si>
    <t>Kommunion</t>
  </si>
  <si>
    <t>Sylvies Tanzschmiede</t>
  </si>
  <si>
    <t>Saugroboter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</si>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</sst>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&quot;DM&quot;_-;\-* #,##0.00\ &quot;DM&quot;_-;_-* &quot;-&quot;??\ &quot;DM&quot;_-;_-@_-"/>
    <numFmt numFmtId="165" formatCode="_-* #,##0.00\ [$€-1]_-;\-* #,##0.00\ [$€-1]_-;_-* &quot;-&quot;??\ [$€-1]_-"/>
    <numFmt numFmtId="166" formatCode="_-* #,##0.00\ [$€-1]_-;\-* #,##0.00\ [$€-1]_-;_-* &quot;-&quot;??\ [$€-1]_-;_-@_-"/>
    <numFmt numFmtId="167" formatCode="_-* #,##0.00\ [$€-407]_-;\-* #,##0.00\ [$€-407]_-;_-* &quot;-&quot;??\ [$€-407]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0">
    <xf numFmtId="0" fontId="0" fillId="0" borderId="0"/>
    <xf numFmtId="165" fontId="9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8" fillId="0" borderId="0"/>
    <xf numFmtId="0" fontId="7" fillId="0" borderId="0"/>
    <xf numFmtId="44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0" fillId="2" borderId="0" xfId="0" applyFill="1"/>
    <xf numFmtId="165" fontId="0" fillId="0" borderId="0" xfId="1" applyFont="1"/>
    <xf numFmtId="0" fontId="10" fillId="0" borderId="0" xfId="0" applyFont="1"/>
    <xf numFmtId="165" fontId="0" fillId="2" borderId="0" xfId="1" applyFont="1" applyFill="1"/>
    <xf numFmtId="165" fontId="0" fillId="0" borderId="0" xfId="0" applyNumberFormat="1"/>
    <xf numFmtId="166" fontId="0" fillId="0" borderId="0" xfId="0" applyNumberFormat="1"/>
    <xf numFmtId="165" fontId="11" fillId="0" borderId="0" xfId="1" applyFont="1"/>
    <xf numFmtId="167" fontId="0" fillId="0" borderId="0" xfId="5" applyNumberFormat="1" applyFont="1"/>
    <xf numFmtId="0" fontId="11" fillId="0" borderId="0" xfId="0" applyFont="1"/>
    <xf numFmtId="165" fontId="10" fillId="0" borderId="0" xfId="0" applyNumberFormat="1" applyFont="1"/>
    <xf numFmtId="0" fontId="11" fillId="0" borderId="0" xfId="7"/>
    <xf numFmtId="167" fontId="0" fillId="0" borderId="0" xfId="0" applyNumberFormat="1"/>
    <xf numFmtId="166" fontId="11" fillId="0" borderId="0" xfId="0" applyNumberFormat="1" applyFont="1"/>
    <xf numFmtId="0" fontId="0" fillId="2" borderId="1" xfId="0" applyFill="1" applyBorder="1"/>
    <xf numFmtId="165" fontId="10" fillId="0" borderId="1" xfId="0" applyNumberFormat="1" applyFont="1" applyBorder="1"/>
    <xf numFmtId="165" fontId="11" fillId="0" borderId="1" xfId="1" applyFont="1" applyBorder="1"/>
    <xf numFmtId="165" fontId="0" fillId="0" borderId="1" xfId="1" applyFont="1" applyBorder="1"/>
    <xf numFmtId="0" fontId="10" fillId="0" borderId="1" xfId="0" applyFont="1" applyBorder="1"/>
    <xf numFmtId="0" fontId="0" fillId="0" borderId="1" xfId="0" applyBorder="1"/>
    <xf numFmtId="165" fontId="0" fillId="0" borderId="1" xfId="0" applyNumberFormat="1" applyBorder="1"/>
    <xf numFmtId="167" fontId="0" fillId="0" borderId="1" xfId="0" applyNumberFormat="1" applyBorder="1"/>
    <xf numFmtId="0" fontId="11" fillId="2" borderId="0" xfId="0" applyFont="1" applyFill="1"/>
    <xf numFmtId="167" fontId="10" fillId="0" borderId="0" xfId="5" applyNumberFormat="1" applyFont="1"/>
    <xf numFmtId="9" fontId="0" fillId="0" borderId="0" xfId="3" applyFont="1"/>
    <xf numFmtId="0" fontId="9" fillId="0" borderId="0" xfId="0" applyFont="1"/>
    <xf numFmtId="0" fontId="9" fillId="0" borderId="0" xfId="7" applyFont="1"/>
    <xf numFmtId="166" fontId="10" fillId="0" borderId="0" xfId="0" applyNumberFormat="1" applyFont="1"/>
    <xf numFmtId="167" fontId="10" fillId="0" borderId="0" xfId="0" applyNumberFormat="1" applyFont="1"/>
    <xf numFmtId="9" fontId="10" fillId="0" borderId="0" xfId="3" applyFont="1"/>
    <xf numFmtId="0" fontId="9" fillId="2" borderId="0" xfId="0" applyFont="1" applyFill="1"/>
    <xf numFmtId="165" fontId="11" fillId="0" borderId="0" xfId="1" applyFont="1" applyFill="1"/>
    <xf numFmtId="165" fontId="14" fillId="0" borderId="0" xfId="1" applyFont="1" applyFill="1"/>
    <xf numFmtId="165" fontId="14" fillId="0" borderId="0" xfId="1" applyFont="1"/>
    <xf numFmtId="165" fontId="14" fillId="0" borderId="1" xfId="1" applyFont="1" applyBorder="1"/>
    <xf numFmtId="166" fontId="14" fillId="0" borderId="0" xfId="0" applyNumberFormat="1" applyFont="1"/>
    <xf numFmtId="165" fontId="15" fillId="0" borderId="0" xfId="1" applyFont="1" applyFill="1"/>
    <xf numFmtId="165" fontId="15" fillId="0" borderId="0" xfId="1" applyFont="1"/>
    <xf numFmtId="165" fontId="15" fillId="0" borderId="1" xfId="1" applyFont="1" applyBorder="1"/>
    <xf numFmtId="166" fontId="15" fillId="0" borderId="0" xfId="0" applyNumberFormat="1" applyFont="1"/>
    <xf numFmtId="165" fontId="15" fillId="0" borderId="0" xfId="0" applyNumberFormat="1" applyFont="1"/>
    <xf numFmtId="167" fontId="15" fillId="0" borderId="0" xfId="5" applyNumberFormat="1" applyFont="1"/>
    <xf numFmtId="167" fontId="15" fillId="0" borderId="1" xfId="5" applyNumberFormat="1" applyFont="1" applyBorder="1"/>
    <xf numFmtId="167" fontId="15" fillId="0" borderId="0" xfId="0" applyNumberFormat="1" applyFont="1"/>
    <xf numFmtId="167" fontId="15" fillId="0" borderId="0" xfId="1" applyNumberFormat="1" applyFont="1"/>
    <xf numFmtId="167" fontId="15" fillId="0" borderId="1" xfId="1" applyNumberFormat="1" applyFont="1" applyBorder="1"/>
    <xf numFmtId="167" fontId="14" fillId="0" borderId="0" xfId="0" applyNumberFormat="1" applyFont="1"/>
    <xf numFmtId="167" fontId="14" fillId="0" borderId="1" xfId="0" applyNumberFormat="1" applyFont="1" applyBorder="1"/>
    <xf numFmtId="167" fontId="14" fillId="0" borderId="0" xfId="1" applyNumberFormat="1" applyFont="1"/>
    <xf numFmtId="165" fontId="14" fillId="0" borderId="0" xfId="0" applyNumberFormat="1" applyFont="1"/>
    <xf numFmtId="165" fontId="14" fillId="0" borderId="0" xfId="1" applyFont="1" applyBorder="1"/>
    <xf numFmtId="165" fontId="15" fillId="0" borderId="1" xfId="1" applyFont="1" applyFill="1" applyBorder="1"/>
    <xf numFmtId="165" fontId="14" fillId="0" borderId="1" xfId="1" applyFont="1" applyFill="1" applyBorder="1"/>
    <xf numFmtId="0" fontId="0" fillId="3" borderId="0" xfId="0" applyFill="1" applyAlignment="1">
      <alignment horizontal="center"/>
    </xf>
  </cellXfs>
  <cellStyles count="30">
    <cellStyle name="Euro" xfId="1" xr:uid="{00000000-0005-0000-0000-000000000000}"/>
    <cellStyle name="Euro 2" xfId="2" xr:uid="{00000000-0005-0000-0000-000001000000}"/>
    <cellStyle name="Euro 2 2" xfId="9" xr:uid="{00000000-0005-0000-0000-000002000000}"/>
    <cellStyle name="Euro 3" xfId="8" xr:uid="{00000000-0005-0000-0000-000003000000}"/>
    <cellStyle name="Prozent" xfId="3" builtinId="5"/>
    <cellStyle name="Prozent 2" xfId="4" xr:uid="{00000000-0005-0000-0000-000005000000}"/>
    <cellStyle name="Prozent 2 2" xfId="11" xr:uid="{00000000-0005-0000-0000-000006000000}"/>
    <cellStyle name="Prozent 3" xfId="10" xr:uid="{00000000-0005-0000-0000-000007000000}"/>
    <cellStyle name="Prozent 4" xfId="19" xr:uid="{00000000-0005-0000-0000-000008000000}"/>
    <cellStyle name="Prozent 5" xfId="28" xr:uid="{00000000-0005-0000-0000-000009000000}"/>
    <cellStyle name="Standard" xfId="0" builtinId="0"/>
    <cellStyle name="Standard 10" xfId="29" xr:uid="{00000000-0005-0000-0000-00000B000000}"/>
    <cellStyle name="Standard 2" xfId="7" xr:uid="{00000000-0005-0000-0000-00000C000000}"/>
    <cellStyle name="Standard 2 2" xfId="22" xr:uid="{00000000-0005-0000-0000-00000D000000}"/>
    <cellStyle name="Standard 3" xfId="14" xr:uid="{00000000-0005-0000-0000-00000E000000}"/>
    <cellStyle name="Standard 4" xfId="15" xr:uid="{00000000-0005-0000-0000-00000F000000}"/>
    <cellStyle name="Standard 5" xfId="17" xr:uid="{00000000-0005-0000-0000-000010000000}"/>
    <cellStyle name="Standard 6" xfId="20" xr:uid="{00000000-0005-0000-0000-000011000000}"/>
    <cellStyle name="Standard 7" xfId="24" xr:uid="{00000000-0005-0000-0000-000012000000}"/>
    <cellStyle name="Standard 8" xfId="26" xr:uid="{00000000-0005-0000-0000-000013000000}"/>
    <cellStyle name="Standard 9" xfId="27" xr:uid="{00000000-0005-0000-0000-000014000000}"/>
    <cellStyle name="Währung" xfId="5" builtinId="4"/>
    <cellStyle name="Währung 2" xfId="6" xr:uid="{00000000-0005-0000-0000-000016000000}"/>
    <cellStyle name="Währung 2 2" xfId="13" xr:uid="{00000000-0005-0000-0000-000017000000}"/>
    <cellStyle name="Währung 2 3" xfId="23" xr:uid="{00000000-0005-0000-0000-000018000000}"/>
    <cellStyle name="Währung 3" xfId="12" xr:uid="{00000000-0005-0000-0000-000019000000}"/>
    <cellStyle name="Währung 4" xfId="16" xr:uid="{00000000-0005-0000-0000-00001A000000}"/>
    <cellStyle name="Währung 5" xfId="18" xr:uid="{00000000-0005-0000-0000-00001B000000}"/>
    <cellStyle name="Währung 6" xfId="21" xr:uid="{00000000-0005-0000-0000-00001C000000}"/>
    <cellStyle name="Währung 7" xfId="25" xr:uid="{00000000-0005-0000-0000-00001D000000}"/>
  </cellStyles>
  <dxfs count="16"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25E8-468D-415D-A2E4-77B55391ED9C}">
  <sheetPr>
    <outlinePr summaryBelow="0"/>
  </sheetPr>
  <dimension ref="A1:X18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:B1048576"/>
    </sheetView>
  </sheetViews>
  <sheetFormatPr baseColWidth="10" defaultRowHeight="13.2" x14ac:dyDescent="0.25"/>
  <cols>
    <col min="1" max="1" width="12.77734375" bestFit="1" customWidth="1"/>
    <col min="2" max="2" width="26.77734375" hidden="1" customWidth="1"/>
    <col min="3" max="3" width="42.77734375" customWidth="1"/>
    <col min="4" max="4" width="14.21875" customWidth="1"/>
    <col min="5" max="5" width="12.77734375" bestFit="1" customWidth="1"/>
    <col min="6" max="6" width="12.77734375" style="2" bestFit="1" customWidth="1"/>
    <col min="7" max="10" width="12.77734375" bestFit="1" customWidth="1"/>
    <col min="11" max="11" width="12.77734375" customWidth="1"/>
    <col min="12" max="14" width="12.77734375" bestFit="1" customWidth="1"/>
    <col min="15" max="15" width="13.77734375" style="19" customWidth="1"/>
    <col min="16" max="16" width="14.5546875" customWidth="1"/>
    <col min="17" max="17" width="11.77734375" bestFit="1" customWidth="1"/>
    <col min="20" max="20" width="13.44140625" bestFit="1" customWidth="1"/>
    <col min="21" max="21" width="13.77734375" bestFit="1" customWidth="1"/>
    <col min="23" max="23" width="12.77734375" bestFit="1" customWidth="1"/>
  </cols>
  <sheetData>
    <row r="1" spans="1:23" s="1" customFormat="1" x14ac:dyDescent="0.25">
      <c r="C1" s="1" t="s">
        <v>27</v>
      </c>
      <c r="D1" s="1" t="s">
        <v>0</v>
      </c>
      <c r="E1" s="1" t="s">
        <v>1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11</v>
      </c>
      <c r="O1" s="14" t="s">
        <v>13</v>
      </c>
      <c r="P1" s="22" t="s">
        <v>16</v>
      </c>
      <c r="Q1" s="22" t="s">
        <v>43</v>
      </c>
      <c r="R1" s="30" t="s">
        <v>61</v>
      </c>
      <c r="S1" s="1" t="s">
        <v>51</v>
      </c>
      <c r="T1" s="1" t="s">
        <v>50</v>
      </c>
    </row>
    <row r="2" spans="1:23" s="9" customFormat="1" x14ac:dyDescent="0.25">
      <c r="A2" s="3" t="s">
        <v>25</v>
      </c>
      <c r="B2" s="3"/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5"/>
      <c r="Q2" s="9">
        <v>2</v>
      </c>
      <c r="R2" s="30" t="s">
        <v>43</v>
      </c>
      <c r="S2" s="1" t="s">
        <v>62</v>
      </c>
      <c r="T2" s="1" t="s">
        <v>63</v>
      </c>
      <c r="U2" s="1" t="s">
        <v>64</v>
      </c>
    </row>
    <row r="3" spans="1:23" s="3" customFormat="1" x14ac:dyDescent="0.25">
      <c r="B3">
        <v>100</v>
      </c>
      <c r="C3" s="9" t="s">
        <v>26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51"/>
      <c r="P3" s="40">
        <f t="shared" ref="P3:P12" si="0">SUM(D3:O3)</f>
        <v>0</v>
      </c>
      <c r="Q3" s="39">
        <f>P3/$Q$2</f>
        <v>0</v>
      </c>
      <c r="R3" s="12" t="e">
        <f>#REF!</f>
        <v>#REF!</v>
      </c>
      <c r="S3" s="24" t="e">
        <f>IF(R3&lt;&gt;0,Q3/R3-1,)</f>
        <v>#REF!</v>
      </c>
      <c r="T3" s="6" t="e">
        <f>Q3-R3</f>
        <v>#REF!</v>
      </c>
      <c r="U3" s="6" t="e">
        <f>T3*12</f>
        <v>#REF!</v>
      </c>
      <c r="W3" s="23"/>
    </row>
    <row r="4" spans="1:23" s="3" customFormat="1" x14ac:dyDescent="0.25">
      <c r="B4" s="9"/>
      <c r="C4" s="9" t="s">
        <v>29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  <c r="P4" s="40">
        <f t="shared" si="0"/>
        <v>0</v>
      </c>
      <c r="Q4" s="39">
        <f t="shared" ref="Q4:Q12" si="1">P4/$Q$2</f>
        <v>0</v>
      </c>
      <c r="R4" s="12" t="e">
        <f>#REF!</f>
        <v>#REF!</v>
      </c>
      <c r="S4" s="24" t="e">
        <f>IF(R4&lt;&gt;0,Q4/R4-1,)</f>
        <v>#REF!</v>
      </c>
      <c r="T4" s="6" t="e">
        <f t="shared" ref="T4:T12" si="2">Q4-R4</f>
        <v>#REF!</v>
      </c>
      <c r="U4" s="6" t="e">
        <f t="shared" ref="U4:U12" si="3">T4*12</f>
        <v>#REF!</v>
      </c>
      <c r="W4" s="23"/>
    </row>
    <row r="5" spans="1:23" s="3" customFormat="1" x14ac:dyDescent="0.25">
      <c r="B5"/>
      <c r="C5" s="9" t="s">
        <v>14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  <c r="P5" s="40">
        <f t="shared" si="0"/>
        <v>0</v>
      </c>
      <c r="Q5" s="39">
        <f t="shared" si="1"/>
        <v>0</v>
      </c>
      <c r="R5" s="12" t="e">
        <f>#REF!</f>
        <v>#REF!</v>
      </c>
      <c r="S5" s="24" t="e">
        <f t="shared" ref="S5:S12" si="4">IF(R5&lt;&gt;0,Q5/R5-1,)</f>
        <v>#REF!</v>
      </c>
      <c r="T5" s="6" t="e">
        <f t="shared" si="2"/>
        <v>#REF!</v>
      </c>
      <c r="U5" s="6" t="e">
        <f t="shared" si="3"/>
        <v>#REF!</v>
      </c>
      <c r="W5" s="23"/>
    </row>
    <row r="6" spans="1:23" s="3" customFormat="1" x14ac:dyDescent="0.25">
      <c r="B6"/>
      <c r="C6" s="9" t="s">
        <v>15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  <c r="P6" s="40">
        <f t="shared" si="0"/>
        <v>0</v>
      </c>
      <c r="Q6" s="39">
        <f t="shared" si="1"/>
        <v>0</v>
      </c>
      <c r="R6" s="12" t="e">
        <f>#REF!</f>
        <v>#REF!</v>
      </c>
      <c r="S6" s="24" t="e">
        <f t="shared" si="4"/>
        <v>#REF!</v>
      </c>
      <c r="T6" s="6" t="e">
        <f t="shared" si="2"/>
        <v>#REF!</v>
      </c>
      <c r="U6" s="6" t="e">
        <f t="shared" si="3"/>
        <v>#REF!</v>
      </c>
      <c r="W6" s="23"/>
    </row>
    <row r="7" spans="1:23" s="3" customFormat="1" x14ac:dyDescent="0.25">
      <c r="B7"/>
      <c r="C7" s="25" t="s">
        <v>89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  <c r="P7" s="40">
        <f t="shared" si="0"/>
        <v>0</v>
      </c>
      <c r="Q7" s="39">
        <f t="shared" si="1"/>
        <v>0</v>
      </c>
      <c r="R7" s="12" t="e">
        <f>#REF!</f>
        <v>#REF!</v>
      </c>
      <c r="S7" s="24" t="e">
        <f t="shared" si="4"/>
        <v>#REF!</v>
      </c>
      <c r="T7" s="6" t="e">
        <f t="shared" si="2"/>
        <v>#REF!</v>
      </c>
      <c r="U7" s="6" t="e">
        <f t="shared" si="3"/>
        <v>#REF!</v>
      </c>
      <c r="W7" s="23"/>
    </row>
    <row r="8" spans="1:23" s="3" customFormat="1" x14ac:dyDescent="0.25">
      <c r="B8"/>
      <c r="C8" s="25" t="s">
        <v>113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  <c r="P8" s="40">
        <f t="shared" si="0"/>
        <v>0</v>
      </c>
      <c r="Q8" s="39">
        <f t="shared" si="1"/>
        <v>0</v>
      </c>
      <c r="R8" s="12" t="e">
        <f>#REF!</f>
        <v>#REF!</v>
      </c>
      <c r="S8" s="24" t="e">
        <f t="shared" si="4"/>
        <v>#REF!</v>
      </c>
      <c r="T8" s="6" t="e">
        <f t="shared" si="2"/>
        <v>#REF!</v>
      </c>
      <c r="U8" s="6" t="e">
        <f t="shared" si="3"/>
        <v>#REF!</v>
      </c>
      <c r="W8" s="23"/>
    </row>
    <row r="9" spans="1:23" s="3" customFormat="1" x14ac:dyDescent="0.25">
      <c r="B9"/>
      <c r="C9" s="25" t="s">
        <v>94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  <c r="P9" s="40">
        <f t="shared" si="0"/>
        <v>0</v>
      </c>
      <c r="Q9" s="39">
        <f t="shared" si="1"/>
        <v>0</v>
      </c>
      <c r="R9" s="12" t="e">
        <f>#REF!</f>
        <v>#REF!</v>
      </c>
      <c r="S9" s="24" t="e">
        <f t="shared" si="4"/>
        <v>#REF!</v>
      </c>
      <c r="T9" s="6" t="e">
        <f t="shared" si="2"/>
        <v>#REF!</v>
      </c>
      <c r="U9" s="6" t="e">
        <f t="shared" si="3"/>
        <v>#REF!</v>
      </c>
      <c r="W9" s="23"/>
    </row>
    <row r="10" spans="1:23" s="3" customFormat="1" x14ac:dyDescent="0.25">
      <c r="B10"/>
      <c r="C10" s="25" t="s">
        <v>149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P10" s="40">
        <f t="shared" si="0"/>
        <v>0</v>
      </c>
      <c r="Q10" s="39">
        <f t="shared" si="1"/>
        <v>0</v>
      </c>
      <c r="R10" s="12" t="e">
        <f>#REF!</f>
        <v>#REF!</v>
      </c>
      <c r="S10" s="24" t="e">
        <f t="shared" si="4"/>
        <v>#REF!</v>
      </c>
      <c r="T10" s="6"/>
      <c r="U10" s="6"/>
      <c r="W10" s="23"/>
    </row>
    <row r="11" spans="1:23" x14ac:dyDescent="0.25">
      <c r="A11" s="3"/>
      <c r="B11" s="9"/>
      <c r="C11" t="s">
        <v>135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8"/>
      <c r="P11" s="40">
        <f>SUM(D11:O11)</f>
        <v>0</v>
      </c>
      <c r="Q11" s="39">
        <f>P11/$Q$2</f>
        <v>0</v>
      </c>
      <c r="R11" s="12" t="e">
        <f>#REF!</f>
        <v>#REF!</v>
      </c>
      <c r="S11" s="24" t="e">
        <f t="shared" si="4"/>
        <v>#REF!</v>
      </c>
      <c r="T11" s="6" t="e">
        <f t="shared" si="2"/>
        <v>#REF!</v>
      </c>
      <c r="U11" s="6" t="e">
        <f t="shared" si="3"/>
        <v>#REF!</v>
      </c>
      <c r="W11" s="8"/>
    </row>
    <row r="12" spans="1:23" s="3" customFormat="1" x14ac:dyDescent="0.25">
      <c r="B12" s="9"/>
      <c r="C12" s="9" t="s">
        <v>28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8"/>
      <c r="P12" s="40">
        <f t="shared" si="0"/>
        <v>0</v>
      </c>
      <c r="Q12" s="39">
        <f t="shared" si="1"/>
        <v>0</v>
      </c>
      <c r="R12" s="12" t="e">
        <f>#REF!</f>
        <v>#REF!</v>
      </c>
      <c r="S12" s="24" t="e">
        <f t="shared" si="4"/>
        <v>#REF!</v>
      </c>
      <c r="T12" s="6" t="e">
        <f t="shared" si="2"/>
        <v>#REF!</v>
      </c>
      <c r="U12" s="6" t="e">
        <f t="shared" si="3"/>
        <v>#REF!</v>
      </c>
      <c r="W12" s="23"/>
    </row>
    <row r="13" spans="1:23" s="3" customFormat="1" x14ac:dyDescent="0.25">
      <c r="A13" s="3" t="s">
        <v>146</v>
      </c>
      <c r="K13" s="7"/>
      <c r="L13" s="7"/>
      <c r="M13" s="7"/>
      <c r="N13" s="7"/>
      <c r="O13" s="16"/>
      <c r="P13" s="5"/>
      <c r="Q13" s="9"/>
      <c r="R13" s="12"/>
      <c r="W13" s="23"/>
    </row>
    <row r="14" spans="1:23" s="3" customFormat="1" x14ac:dyDescent="0.25">
      <c r="A14"/>
      <c r="B14" s="9"/>
      <c r="C14" s="25" t="s">
        <v>99</v>
      </c>
      <c r="D14" s="36"/>
      <c r="E14" s="37"/>
      <c r="F14" s="37"/>
      <c r="G14" s="40"/>
      <c r="H14" s="37"/>
      <c r="I14" s="40"/>
      <c r="J14" s="40"/>
      <c r="K14" s="40"/>
      <c r="L14" s="37"/>
      <c r="M14" s="37"/>
      <c r="N14" s="37"/>
      <c r="O14" s="38"/>
      <c r="P14" s="5"/>
      <c r="Q14" s="9"/>
    </row>
    <row r="15" spans="1:23" s="3" customFormat="1" x14ac:dyDescent="0.25">
      <c r="A15"/>
      <c r="B15" s="9"/>
      <c r="C15" s="25" t="s">
        <v>100</v>
      </c>
      <c r="D15" s="36"/>
      <c r="E15" s="37"/>
      <c r="F15" s="37"/>
      <c r="G15" s="41"/>
      <c r="H15" s="37"/>
      <c r="I15" s="40"/>
      <c r="J15" s="40"/>
      <c r="K15" s="40"/>
      <c r="L15" s="37"/>
      <c r="M15" s="37"/>
      <c r="N15" s="37"/>
      <c r="O15" s="38"/>
      <c r="P15" s="5"/>
      <c r="Q15" s="9"/>
    </row>
    <row r="16" spans="1:23" s="3" customFormat="1" x14ac:dyDescent="0.25">
      <c r="A16"/>
      <c r="B16" s="9"/>
      <c r="C16" s="25" t="s">
        <v>151</v>
      </c>
      <c r="D16" s="36"/>
      <c r="E16" s="40"/>
      <c r="F16" s="40"/>
      <c r="G16" s="41"/>
      <c r="H16" s="37"/>
      <c r="I16" s="40"/>
      <c r="J16" s="40"/>
      <c r="K16" s="40"/>
      <c r="L16" s="37"/>
      <c r="M16" s="37"/>
      <c r="N16" s="37"/>
      <c r="O16" s="38"/>
      <c r="P16" s="5"/>
      <c r="Q16" s="9"/>
    </row>
    <row r="17" spans="1:18" s="3" customFormat="1" x14ac:dyDescent="0.25">
      <c r="A17"/>
      <c r="B17" s="9"/>
      <c r="C17" s="25" t="s">
        <v>139</v>
      </c>
      <c r="D17" s="36"/>
      <c r="E17" s="40"/>
      <c r="F17" s="40"/>
      <c r="G17" s="41"/>
      <c r="H17" s="40"/>
      <c r="I17" s="40"/>
      <c r="J17" s="40"/>
      <c r="K17" s="40"/>
      <c r="L17" s="37"/>
      <c r="M17" s="37"/>
      <c r="N17" s="37"/>
      <c r="O17" s="38"/>
      <c r="P17" s="5"/>
      <c r="Q17" s="9"/>
    </row>
    <row r="18" spans="1:18" s="3" customFormat="1" x14ac:dyDescent="0.25">
      <c r="A18"/>
      <c r="B18" s="9"/>
      <c r="C18" s="25" t="s">
        <v>134</v>
      </c>
      <c r="D18" s="36"/>
      <c r="E18" s="40"/>
      <c r="F18" s="40"/>
      <c r="G18" s="41"/>
      <c r="H18" s="40"/>
      <c r="I18" s="40"/>
      <c r="J18" s="40"/>
      <c r="K18" s="40"/>
      <c r="L18" s="37"/>
      <c r="M18" s="37"/>
      <c r="N18" s="37"/>
      <c r="O18" s="38"/>
      <c r="P18" s="5"/>
      <c r="Q18" s="9"/>
    </row>
    <row r="19" spans="1:18" s="3" customFormat="1" x14ac:dyDescent="0.25">
      <c r="A19"/>
      <c r="B19" s="9"/>
      <c r="C19" s="25" t="s">
        <v>155</v>
      </c>
      <c r="D19" s="36"/>
      <c r="E19" s="40"/>
      <c r="F19" s="40"/>
      <c r="G19" s="41"/>
      <c r="H19" s="40"/>
      <c r="I19" s="40"/>
      <c r="J19" s="40"/>
      <c r="K19" s="40"/>
      <c r="L19" s="37"/>
      <c r="M19" s="37"/>
      <c r="N19" s="37"/>
      <c r="O19" s="38"/>
      <c r="P19" s="5"/>
      <c r="Q19" s="9"/>
    </row>
    <row r="20" spans="1:18" s="3" customFormat="1" x14ac:dyDescent="0.25">
      <c r="A20"/>
      <c r="B20" s="9"/>
      <c r="C20" s="25" t="s">
        <v>169</v>
      </c>
      <c r="D20" s="36"/>
      <c r="E20" s="36"/>
      <c r="F20" s="36"/>
      <c r="G20" s="36"/>
      <c r="H20" s="36"/>
      <c r="I20" s="36"/>
      <c r="J20" s="36"/>
      <c r="K20" s="36"/>
      <c r="L20" s="37"/>
      <c r="M20" s="37"/>
      <c r="N20" s="37"/>
      <c r="O20" s="38"/>
      <c r="P20" s="5"/>
      <c r="Q20" s="9"/>
    </row>
    <row r="21" spans="1:18" s="3" customFormat="1" x14ac:dyDescent="0.25">
      <c r="A21" s="3" t="s">
        <v>147</v>
      </c>
      <c r="B21" s="9"/>
      <c r="C21" s="9"/>
      <c r="D21" s="36"/>
      <c r="E21" s="36"/>
      <c r="F21" s="37"/>
      <c r="G21" s="37"/>
      <c r="H21" s="37"/>
      <c r="I21" s="36"/>
      <c r="J21" s="40"/>
      <c r="K21" s="36"/>
      <c r="L21" s="36"/>
      <c r="M21" s="36"/>
      <c r="N21" s="36"/>
      <c r="O21" s="38"/>
      <c r="P21" s="5"/>
      <c r="Q21" s="9"/>
      <c r="R21" s="10"/>
    </row>
    <row r="22" spans="1:18" s="3" customFormat="1" x14ac:dyDescent="0.25">
      <c r="A22"/>
      <c r="B22"/>
      <c r="C22" s="25" t="s">
        <v>137</v>
      </c>
      <c r="D22" s="36"/>
      <c r="E22" s="40"/>
      <c r="F22" s="40"/>
      <c r="G22" s="41"/>
      <c r="H22" s="40"/>
      <c r="I22" s="40"/>
      <c r="J22" s="40"/>
      <c r="K22" s="40"/>
      <c r="L22" s="37"/>
      <c r="M22" s="37"/>
      <c r="N22" s="37"/>
      <c r="O22" s="38"/>
      <c r="P22" s="5"/>
      <c r="Q22" s="9"/>
    </row>
    <row r="23" spans="1:18" s="3" customFormat="1" x14ac:dyDescent="0.25">
      <c r="A23"/>
      <c r="B23"/>
      <c r="C23" s="25" t="s">
        <v>165</v>
      </c>
      <c r="D23" s="36"/>
      <c r="E23" s="37"/>
      <c r="F23" s="36"/>
      <c r="G23" s="41"/>
      <c r="H23" s="37"/>
      <c r="I23" s="41"/>
      <c r="J23" s="40"/>
      <c r="K23" s="40"/>
      <c r="L23" s="37"/>
      <c r="M23" s="37"/>
      <c r="N23" s="37"/>
      <c r="O23" s="38"/>
      <c r="P23" s="5"/>
      <c r="Q23" s="9"/>
    </row>
    <row r="24" spans="1:18" s="3" customFormat="1" x14ac:dyDescent="0.25">
      <c r="A24"/>
      <c r="B24"/>
      <c r="C24" s="25" t="s">
        <v>96</v>
      </c>
      <c r="D24" s="36"/>
      <c r="E24" s="37"/>
      <c r="F24" s="36"/>
      <c r="G24" s="41"/>
      <c r="H24" s="37"/>
      <c r="I24" s="41"/>
      <c r="J24" s="40"/>
      <c r="K24" s="40"/>
      <c r="L24" s="37"/>
      <c r="M24" s="37"/>
      <c r="N24" s="37"/>
      <c r="O24" s="42"/>
      <c r="P24" s="5"/>
      <c r="Q24" s="9"/>
      <c r="R24" s="10"/>
    </row>
    <row r="25" spans="1:18" s="3" customFormat="1" x14ac:dyDescent="0.25">
      <c r="A25" s="3" t="s">
        <v>87</v>
      </c>
      <c r="B25"/>
      <c r="C25" s="9"/>
      <c r="D25" s="7"/>
      <c r="E25" s="7"/>
      <c r="F25" s="37"/>
      <c r="G25" s="7"/>
      <c r="H25" s="7"/>
      <c r="I25" s="7"/>
      <c r="J25" s="12"/>
      <c r="K25" s="7"/>
      <c r="L25" s="37"/>
      <c r="M25" s="7"/>
      <c r="N25" s="7"/>
      <c r="O25" s="16"/>
      <c r="P25" s="5"/>
      <c r="Q25" s="9"/>
      <c r="R25" s="10"/>
    </row>
    <row r="26" spans="1:18" s="3" customFormat="1" x14ac:dyDescent="0.25">
      <c r="A26"/>
      <c r="B26"/>
      <c r="C26" s="25" t="s">
        <v>101</v>
      </c>
      <c r="D26" s="40"/>
      <c r="E26" s="40"/>
      <c r="F26" s="37"/>
      <c r="G26" s="37"/>
      <c r="H26" s="37"/>
      <c r="I26" s="37"/>
      <c r="J26" s="37"/>
      <c r="K26" s="37"/>
      <c r="L26" s="37"/>
      <c r="M26" s="37"/>
      <c r="N26" s="37"/>
      <c r="O26" s="38"/>
      <c r="P26" s="5"/>
      <c r="Q26" s="9"/>
      <c r="R26" s="10"/>
    </row>
    <row r="27" spans="1:18" s="3" customFormat="1" x14ac:dyDescent="0.25">
      <c r="A27"/>
      <c r="B27"/>
      <c r="C27" s="25" t="s">
        <v>97</v>
      </c>
      <c r="D27" s="40"/>
      <c r="E27" s="37"/>
      <c r="F27" s="37"/>
      <c r="G27" s="37"/>
      <c r="H27" s="36"/>
      <c r="I27" s="37"/>
      <c r="J27" s="43"/>
      <c r="K27" s="37"/>
      <c r="L27" s="36"/>
      <c r="M27" s="37"/>
      <c r="N27" s="37"/>
      <c r="O27" s="38"/>
      <c r="P27" s="5"/>
      <c r="Q27" s="9"/>
      <c r="R27" s="10"/>
    </row>
    <row r="28" spans="1:18" s="3" customFormat="1" x14ac:dyDescent="0.25">
      <c r="A28"/>
      <c r="B28"/>
      <c r="C28" s="25" t="s">
        <v>166</v>
      </c>
      <c r="D28" s="40"/>
      <c r="E28" s="37"/>
      <c r="F28" s="37"/>
      <c r="G28" s="37"/>
      <c r="H28" s="36"/>
      <c r="I28" s="37"/>
      <c r="J28" s="43"/>
      <c r="K28" s="37"/>
      <c r="L28" s="36"/>
      <c r="M28" s="37"/>
      <c r="N28" s="37"/>
      <c r="O28" s="38"/>
      <c r="P28" s="5"/>
      <c r="Q28" s="9"/>
      <c r="R28" s="10"/>
    </row>
    <row r="29" spans="1:18" s="3" customFormat="1" x14ac:dyDescent="0.25">
      <c r="A29"/>
      <c r="B29"/>
      <c r="C29" s="25" t="s">
        <v>170</v>
      </c>
      <c r="D29" s="40"/>
      <c r="E29" s="40"/>
      <c r="F29" s="37"/>
      <c r="G29" s="37"/>
      <c r="H29" s="37"/>
      <c r="I29" s="36"/>
      <c r="J29" s="36"/>
      <c r="K29" s="37"/>
      <c r="L29" s="37"/>
      <c r="M29" s="37"/>
      <c r="N29" s="37"/>
      <c r="O29" s="38"/>
      <c r="P29" s="5"/>
      <c r="Q29" s="9"/>
      <c r="R29" s="10"/>
    </row>
    <row r="30" spans="1:18" s="3" customFormat="1" x14ac:dyDescent="0.25">
      <c r="A30" s="3" t="s">
        <v>88</v>
      </c>
      <c r="B30"/>
      <c r="C30" s="25"/>
      <c r="D30" s="5"/>
      <c r="E30" s="7"/>
      <c r="F30" s="37"/>
      <c r="G30" s="7"/>
      <c r="H30" s="31"/>
      <c r="I30" s="7"/>
      <c r="J30" s="12"/>
      <c r="K30" s="7"/>
      <c r="L30" s="37"/>
      <c r="M30" s="7"/>
      <c r="N30" s="7"/>
      <c r="O30" s="16"/>
      <c r="P30" s="5"/>
      <c r="Q30" s="9"/>
      <c r="R30" s="10"/>
    </row>
    <row r="31" spans="1:18" s="3" customFormat="1" x14ac:dyDescent="0.25">
      <c r="A31"/>
      <c r="B31"/>
      <c r="C31" s="25" t="s">
        <v>102</v>
      </c>
      <c r="D31" s="43"/>
      <c r="E31" s="43"/>
      <c r="F31" s="44"/>
      <c r="G31" s="44"/>
      <c r="H31" s="44"/>
      <c r="I31" s="43"/>
      <c r="J31" s="43"/>
      <c r="K31" s="43"/>
      <c r="L31" s="43"/>
      <c r="M31" s="43"/>
      <c r="N31" s="43"/>
      <c r="O31" s="45"/>
      <c r="P31" s="5"/>
      <c r="Q31" s="9"/>
      <c r="R31" s="10"/>
    </row>
    <row r="32" spans="1:18" s="3" customFormat="1" x14ac:dyDescent="0.25">
      <c r="A32"/>
      <c r="B32"/>
      <c r="C32" s="25" t="s">
        <v>98</v>
      </c>
      <c r="D32" s="43"/>
      <c r="E32" s="44"/>
      <c r="F32" s="37"/>
      <c r="G32" s="37"/>
      <c r="H32" s="36"/>
      <c r="I32" s="37"/>
      <c r="J32" s="43"/>
      <c r="K32" s="37"/>
      <c r="L32" s="36"/>
      <c r="M32" s="37"/>
      <c r="N32" s="44"/>
      <c r="O32" s="45"/>
      <c r="P32" s="5"/>
      <c r="Q32" s="9"/>
      <c r="R32" s="10"/>
    </row>
    <row r="33" spans="1:18" s="3" customFormat="1" x14ac:dyDescent="0.25">
      <c r="A33"/>
      <c r="B33"/>
      <c r="C33" s="25" t="s">
        <v>167</v>
      </c>
      <c r="D33" s="43"/>
      <c r="E33" s="44"/>
      <c r="F33" s="37"/>
      <c r="G33" s="37"/>
      <c r="H33" s="36"/>
      <c r="I33" s="37"/>
      <c r="J33" s="43"/>
      <c r="K33" s="37"/>
      <c r="L33" s="36"/>
      <c r="M33" s="37"/>
      <c r="N33" s="44"/>
      <c r="O33" s="45"/>
      <c r="P33" s="5"/>
      <c r="Q33" s="9"/>
      <c r="R33" s="10"/>
    </row>
    <row r="34" spans="1:18" s="3" customFormat="1" x14ac:dyDescent="0.25">
      <c r="A34"/>
      <c r="B34"/>
      <c r="C34" s="25" t="s">
        <v>171</v>
      </c>
      <c r="D34" s="40"/>
      <c r="E34" s="40"/>
      <c r="F34" s="37"/>
      <c r="G34" s="37"/>
      <c r="H34" s="37"/>
      <c r="I34" s="36"/>
      <c r="J34" s="36"/>
      <c r="K34" s="37"/>
      <c r="L34" s="37"/>
      <c r="M34" s="37"/>
      <c r="N34" s="37"/>
      <c r="O34" s="38"/>
      <c r="P34" s="5"/>
      <c r="Q34" s="9"/>
      <c r="R34" s="10"/>
    </row>
    <row r="35" spans="1:18" s="3" customFormat="1" x14ac:dyDescent="0.25">
      <c r="A35" s="3" t="s">
        <v>36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5"/>
      <c r="Q35" s="9"/>
    </row>
    <row r="36" spans="1:18" x14ac:dyDescent="0.25">
      <c r="C36" t="s">
        <v>118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  <c r="P36" s="49">
        <f t="shared" ref="P36" si="5">SUM(D36:O36)</f>
        <v>0</v>
      </c>
      <c r="Q36" s="35">
        <f t="shared" ref="Q36:Q41" si="6">P36/$Q$2</f>
        <v>0</v>
      </c>
    </row>
    <row r="37" spans="1:18" x14ac:dyDescent="0.25">
      <c r="B37" s="9"/>
      <c r="C37" s="11" t="s">
        <v>93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7"/>
      <c r="P37" s="49">
        <f>SUM(D37:O37)</f>
        <v>0</v>
      </c>
      <c r="Q37" s="35">
        <f>P37/$Q$2</f>
        <v>0</v>
      </c>
    </row>
    <row r="38" spans="1:18" x14ac:dyDescent="0.25">
      <c r="B38" s="9"/>
      <c r="C38" t="s">
        <v>48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  <c r="P38" s="49">
        <f>SUM(D38:O38)</f>
        <v>0</v>
      </c>
      <c r="Q38" s="35">
        <f>P38/$Q$2</f>
        <v>0</v>
      </c>
    </row>
    <row r="39" spans="1:18" x14ac:dyDescent="0.25">
      <c r="B39" s="9"/>
      <c r="C39" s="2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49">
        <f t="shared" ref="P39:P41" si="7">SUM(D39:O39)</f>
        <v>0</v>
      </c>
      <c r="Q39" s="35">
        <f t="shared" si="6"/>
        <v>0</v>
      </c>
    </row>
    <row r="40" spans="1:18" x14ac:dyDescent="0.25">
      <c r="B40" s="9"/>
      <c r="C40" s="26" t="s">
        <v>65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49">
        <f t="shared" si="7"/>
        <v>0</v>
      </c>
      <c r="Q40" s="35">
        <f t="shared" si="6"/>
        <v>0</v>
      </c>
    </row>
    <row r="41" spans="1:18" x14ac:dyDescent="0.25">
      <c r="B41" s="9"/>
      <c r="C41" s="26" t="s">
        <v>106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49">
        <f t="shared" si="7"/>
        <v>0</v>
      </c>
      <c r="Q41" s="35">
        <f t="shared" si="6"/>
        <v>0</v>
      </c>
    </row>
    <row r="42" spans="1:18" x14ac:dyDescent="0.25">
      <c r="A42" s="3" t="s">
        <v>38</v>
      </c>
      <c r="K42" s="2"/>
      <c r="L42" s="2"/>
      <c r="M42" s="2"/>
      <c r="N42" s="2"/>
      <c r="O42" s="17"/>
      <c r="Q42" s="9"/>
    </row>
    <row r="43" spans="1:18" x14ac:dyDescent="0.25">
      <c r="C43" s="25" t="s">
        <v>91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51"/>
      <c r="P43" s="40">
        <f t="shared" ref="P43:P52" si="8">SUM(D43:O43)</f>
        <v>0</v>
      </c>
      <c r="Q43" s="39">
        <f t="shared" ref="Q43:Q53" si="9">P43/$Q$2</f>
        <v>0</v>
      </c>
    </row>
    <row r="44" spans="1:18" x14ac:dyDescent="0.25">
      <c r="A44" s="9"/>
      <c r="C44" s="25" t="s">
        <v>92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51"/>
      <c r="P44" s="40">
        <f t="shared" si="8"/>
        <v>0</v>
      </c>
      <c r="Q44" s="39">
        <f t="shared" si="9"/>
        <v>0</v>
      </c>
    </row>
    <row r="45" spans="1:18" x14ac:dyDescent="0.25">
      <c r="A45" s="9"/>
      <c r="C45" s="25" t="s">
        <v>108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8"/>
      <c r="P45" s="40">
        <f t="shared" si="8"/>
        <v>0</v>
      </c>
      <c r="Q45" s="39">
        <f t="shared" si="9"/>
        <v>0</v>
      </c>
    </row>
    <row r="46" spans="1:18" x14ac:dyDescent="0.25">
      <c r="C46" s="9" t="s">
        <v>33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  <c r="P46" s="49">
        <f t="shared" si="8"/>
        <v>0</v>
      </c>
      <c r="Q46" s="35">
        <f t="shared" si="9"/>
        <v>0</v>
      </c>
    </row>
    <row r="47" spans="1:18" x14ac:dyDescent="0.25">
      <c r="A47" s="9"/>
      <c r="C47" s="9" t="s">
        <v>34</v>
      </c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4"/>
      <c r="P47" s="49">
        <f t="shared" si="8"/>
        <v>0</v>
      </c>
      <c r="Q47" s="35">
        <f t="shared" si="9"/>
        <v>0</v>
      </c>
    </row>
    <row r="48" spans="1:18" x14ac:dyDescent="0.25">
      <c r="A48" s="9"/>
      <c r="C48" s="25" t="s">
        <v>140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52"/>
      <c r="P48" s="49">
        <f t="shared" si="8"/>
        <v>0</v>
      </c>
      <c r="Q48" s="35">
        <f t="shared" si="9"/>
        <v>0</v>
      </c>
    </row>
    <row r="49" spans="1:17" x14ac:dyDescent="0.25">
      <c r="A49" s="9"/>
      <c r="C49" s="25" t="s">
        <v>160</v>
      </c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52"/>
      <c r="P49" s="49">
        <f t="shared" si="8"/>
        <v>0</v>
      </c>
      <c r="Q49" s="35">
        <f t="shared" si="9"/>
        <v>0</v>
      </c>
    </row>
    <row r="50" spans="1:17" x14ac:dyDescent="0.25">
      <c r="A50" s="9"/>
      <c r="C50" t="s">
        <v>24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  <c r="P50" s="49">
        <f t="shared" si="8"/>
        <v>0</v>
      </c>
      <c r="Q50" s="35">
        <f t="shared" si="9"/>
        <v>0</v>
      </c>
    </row>
    <row r="51" spans="1:17" x14ac:dyDescent="0.25">
      <c r="A51" s="9"/>
      <c r="C51" t="s">
        <v>23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49">
        <f>SUM(D51:O51)</f>
        <v>0</v>
      </c>
      <c r="Q51" s="35">
        <f t="shared" si="9"/>
        <v>0</v>
      </c>
    </row>
    <row r="52" spans="1:17" x14ac:dyDescent="0.25">
      <c r="B52" s="9"/>
      <c r="C52" s="9" t="s">
        <v>32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49">
        <f t="shared" si="8"/>
        <v>0</v>
      </c>
      <c r="Q52" s="35">
        <f t="shared" si="9"/>
        <v>0</v>
      </c>
    </row>
    <row r="53" spans="1:17" x14ac:dyDescent="0.25">
      <c r="B53" s="9"/>
      <c r="C53" t="s">
        <v>52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  <c r="P53" s="49">
        <f>SUM(D53:O53)</f>
        <v>0</v>
      </c>
      <c r="Q53" s="35">
        <f t="shared" si="9"/>
        <v>0</v>
      </c>
    </row>
    <row r="54" spans="1:17" x14ac:dyDescent="0.25">
      <c r="A54" s="3" t="s">
        <v>59</v>
      </c>
      <c r="B54" s="9"/>
      <c r="D54" s="2"/>
      <c r="E54" s="2"/>
      <c r="G54" s="2"/>
      <c r="H54" s="2"/>
      <c r="I54" s="2"/>
      <c r="J54" s="2"/>
      <c r="K54" s="2"/>
      <c r="L54" s="2"/>
      <c r="M54" s="2"/>
      <c r="N54" s="2"/>
      <c r="O54" s="17"/>
      <c r="P54" s="5"/>
      <c r="Q54" s="13"/>
    </row>
    <row r="55" spans="1:17" x14ac:dyDescent="0.25">
      <c r="B55" s="9"/>
      <c r="C55" s="11" t="s">
        <v>31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  <c r="P55" s="49">
        <f>SUM(D55:O55)</f>
        <v>0</v>
      </c>
      <c r="Q55" s="35">
        <f>P55/$Q$2</f>
        <v>0</v>
      </c>
    </row>
    <row r="56" spans="1:17" x14ac:dyDescent="0.25">
      <c r="A56" s="3" t="s">
        <v>60</v>
      </c>
      <c r="B56" s="9"/>
      <c r="C56" s="11"/>
      <c r="D56" s="2"/>
      <c r="E56" s="2"/>
      <c r="G56" s="2"/>
      <c r="H56" s="2"/>
      <c r="I56" s="2"/>
      <c r="J56" s="2"/>
      <c r="K56" s="2"/>
      <c r="L56" s="2"/>
      <c r="M56" s="2"/>
      <c r="N56" s="2"/>
      <c r="O56" s="17"/>
      <c r="P56" s="5"/>
      <c r="Q56" s="13"/>
    </row>
    <row r="57" spans="1:17" x14ac:dyDescent="0.25">
      <c r="B57" s="9"/>
      <c r="C57" s="11" t="s">
        <v>35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  <c r="P57" s="49">
        <f>SUM(D57:O57)</f>
        <v>0</v>
      </c>
      <c r="Q57" s="35">
        <f>P57/$Q$2</f>
        <v>0</v>
      </c>
    </row>
    <row r="58" spans="1:17" x14ac:dyDescent="0.25">
      <c r="A58" s="3" t="s">
        <v>22</v>
      </c>
      <c r="B58" s="9"/>
      <c r="C58" s="9"/>
      <c r="D58" s="2"/>
      <c r="E58" s="2"/>
      <c r="G58" s="2"/>
      <c r="H58" s="2"/>
      <c r="I58" s="2"/>
      <c r="J58" s="2"/>
      <c r="K58" s="2"/>
      <c r="L58" s="2"/>
      <c r="M58" s="2"/>
      <c r="N58" s="2"/>
      <c r="O58" s="17"/>
      <c r="Q58" s="9"/>
    </row>
    <row r="59" spans="1:17" x14ac:dyDescent="0.25">
      <c r="A59" s="3"/>
      <c r="B59" s="9"/>
      <c r="C59" s="25" t="s">
        <v>95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1"/>
      <c r="P59" s="40">
        <f t="shared" ref="P59:P64" si="10">SUM(D59:O59)</f>
        <v>0</v>
      </c>
      <c r="Q59" s="39">
        <f t="shared" ref="Q59:Q64" si="11">P59/$Q$2</f>
        <v>0</v>
      </c>
    </row>
    <row r="60" spans="1:17" x14ac:dyDescent="0.25">
      <c r="A60" s="3"/>
      <c r="B60" s="9"/>
      <c r="C60" s="9" t="s">
        <v>39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49">
        <f t="shared" si="10"/>
        <v>0</v>
      </c>
      <c r="Q60" s="35">
        <f t="shared" si="11"/>
        <v>0</v>
      </c>
    </row>
    <row r="61" spans="1:17" x14ac:dyDescent="0.25">
      <c r="C61" s="25" t="s">
        <v>128</v>
      </c>
      <c r="D61" s="50"/>
      <c r="E61" s="50"/>
      <c r="F61" s="50"/>
      <c r="G61" s="50"/>
      <c r="H61" s="50"/>
      <c r="I61" s="50"/>
      <c r="J61" s="50"/>
      <c r="K61" s="50"/>
      <c r="L61" s="33"/>
      <c r="M61" s="50"/>
      <c r="N61" s="50"/>
      <c r="O61" s="34"/>
      <c r="P61" s="49">
        <f t="shared" si="10"/>
        <v>0</v>
      </c>
      <c r="Q61" s="35">
        <f t="shared" si="11"/>
        <v>0</v>
      </c>
    </row>
    <row r="62" spans="1:17" x14ac:dyDescent="0.25">
      <c r="C62" s="25" t="s">
        <v>129</v>
      </c>
      <c r="D62" s="50"/>
      <c r="E62" s="50"/>
      <c r="F62" s="50"/>
      <c r="G62" s="50"/>
      <c r="H62" s="50"/>
      <c r="I62" s="50"/>
      <c r="J62" s="50"/>
      <c r="K62" s="50"/>
      <c r="L62" s="33"/>
      <c r="M62" s="50"/>
      <c r="N62" s="50"/>
      <c r="O62" s="34"/>
      <c r="P62" s="49">
        <f t="shared" si="10"/>
        <v>0</v>
      </c>
      <c r="Q62" s="35">
        <f t="shared" si="11"/>
        <v>0</v>
      </c>
    </row>
    <row r="63" spans="1:17" x14ac:dyDescent="0.25">
      <c r="C63" s="25" t="s">
        <v>152</v>
      </c>
      <c r="D63" s="50"/>
      <c r="E63" s="50"/>
      <c r="F63" s="50"/>
      <c r="G63" s="50"/>
      <c r="H63" s="50"/>
      <c r="I63" s="50"/>
      <c r="J63" s="50"/>
      <c r="K63" s="50"/>
      <c r="L63" s="33"/>
      <c r="M63" s="50"/>
      <c r="N63" s="50"/>
      <c r="O63" s="34"/>
      <c r="P63" s="49">
        <f t="shared" si="10"/>
        <v>0</v>
      </c>
      <c r="Q63" s="35">
        <f t="shared" si="11"/>
        <v>0</v>
      </c>
    </row>
    <row r="64" spans="1:17" x14ac:dyDescent="0.25">
      <c r="C64" s="25" t="s">
        <v>130</v>
      </c>
      <c r="D64" s="50"/>
      <c r="E64" s="50"/>
      <c r="F64" s="50"/>
      <c r="G64" s="50"/>
      <c r="H64" s="50"/>
      <c r="I64" s="50"/>
      <c r="J64" s="50"/>
      <c r="K64" s="50"/>
      <c r="L64" s="33"/>
      <c r="M64" s="50"/>
      <c r="N64" s="50"/>
      <c r="O64" s="34"/>
      <c r="P64" s="49">
        <f t="shared" si="10"/>
        <v>0</v>
      </c>
      <c r="Q64" s="35">
        <f t="shared" si="11"/>
        <v>0</v>
      </c>
    </row>
    <row r="65" spans="1:17" x14ac:dyDescent="0.25">
      <c r="A65" s="3" t="s">
        <v>37</v>
      </c>
      <c r="B65" s="9"/>
      <c r="D65" s="2"/>
      <c r="E65" s="2"/>
      <c r="G65" s="2"/>
      <c r="H65" s="2"/>
      <c r="I65" s="2"/>
      <c r="J65" s="2"/>
      <c r="K65" s="2"/>
      <c r="L65" s="2"/>
      <c r="M65" s="2"/>
      <c r="N65" s="2"/>
      <c r="O65" s="17"/>
      <c r="Q65" s="9"/>
    </row>
    <row r="66" spans="1:17" x14ac:dyDescent="0.25">
      <c r="C66" s="25" t="s">
        <v>157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  <c r="P66" s="49">
        <f t="shared" ref="P66:P71" si="12">SUM(D66:O66)</f>
        <v>0</v>
      </c>
      <c r="Q66" s="35">
        <f t="shared" ref="Q66:Q71" si="13">P66/$Q$2</f>
        <v>0</v>
      </c>
    </row>
    <row r="67" spans="1:17" x14ac:dyDescent="0.25">
      <c r="C67" s="25" t="s">
        <v>161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49">
        <f t="shared" si="12"/>
        <v>0</v>
      </c>
      <c r="Q67" s="35">
        <f t="shared" si="13"/>
        <v>0</v>
      </c>
    </row>
    <row r="68" spans="1:17" x14ac:dyDescent="0.25">
      <c r="C68" s="25" t="s">
        <v>164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49">
        <f t="shared" si="12"/>
        <v>0</v>
      </c>
      <c r="Q68" s="35">
        <f t="shared" si="13"/>
        <v>0</v>
      </c>
    </row>
    <row r="69" spans="1:17" x14ac:dyDescent="0.25">
      <c r="C69" s="25" t="s">
        <v>156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49">
        <f t="shared" si="12"/>
        <v>0</v>
      </c>
      <c r="Q69" s="35">
        <f t="shared" si="13"/>
        <v>0</v>
      </c>
    </row>
    <row r="70" spans="1:17" x14ac:dyDescent="0.25">
      <c r="C70" s="25" t="s">
        <v>159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49">
        <f t="shared" si="12"/>
        <v>0</v>
      </c>
      <c r="Q70" s="35">
        <f t="shared" si="13"/>
        <v>0</v>
      </c>
    </row>
    <row r="71" spans="1:17" x14ac:dyDescent="0.25">
      <c r="C71" s="25" t="s">
        <v>154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49">
        <f t="shared" si="12"/>
        <v>0</v>
      </c>
      <c r="Q71" s="35">
        <f t="shared" si="13"/>
        <v>0</v>
      </c>
    </row>
    <row r="72" spans="1:17" x14ac:dyDescent="0.25">
      <c r="A72" s="3" t="s">
        <v>53</v>
      </c>
      <c r="G72" s="2"/>
      <c r="J72" s="2"/>
      <c r="K72" s="10"/>
      <c r="L72" s="3"/>
      <c r="M72" s="3"/>
      <c r="N72" s="3"/>
      <c r="O72" s="18"/>
      <c r="Q72" s="9"/>
    </row>
    <row r="73" spans="1:17" x14ac:dyDescent="0.25">
      <c r="A73" s="3"/>
      <c r="C73" s="26" t="s">
        <v>143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8"/>
      <c r="P73" s="37">
        <f t="shared" ref="P73:P83" si="14">SUM(D73:O73)</f>
        <v>0</v>
      </c>
      <c r="Q73" s="37">
        <f t="shared" ref="Q73:Q83" si="15">P73/$Q$2</f>
        <v>0</v>
      </c>
    </row>
    <row r="74" spans="1:17" x14ac:dyDescent="0.25">
      <c r="A74" s="3"/>
      <c r="C74" t="s">
        <v>107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34"/>
      <c r="P74" s="49">
        <f t="shared" si="14"/>
        <v>0</v>
      </c>
      <c r="Q74" s="35">
        <f t="shared" si="15"/>
        <v>0</v>
      </c>
    </row>
    <row r="75" spans="1:17" x14ac:dyDescent="0.25">
      <c r="A75" s="3"/>
      <c r="C75" s="26" t="s">
        <v>141</v>
      </c>
      <c r="D75" s="46"/>
      <c r="E75" s="46"/>
      <c r="F75" s="48"/>
      <c r="G75" s="48"/>
      <c r="H75" s="48"/>
      <c r="I75" s="48"/>
      <c r="J75" s="48"/>
      <c r="K75" s="48"/>
      <c r="L75" s="46"/>
      <c r="M75" s="46"/>
      <c r="N75" s="32"/>
      <c r="O75" s="34"/>
      <c r="P75" s="49">
        <f t="shared" si="14"/>
        <v>0</v>
      </c>
      <c r="Q75" s="35">
        <f t="shared" si="15"/>
        <v>0</v>
      </c>
    </row>
    <row r="76" spans="1:17" x14ac:dyDescent="0.25">
      <c r="A76" s="3"/>
      <c r="C76" s="26" t="s">
        <v>116</v>
      </c>
      <c r="D76" s="33"/>
      <c r="E76" s="46"/>
      <c r="F76" s="48"/>
      <c r="G76" s="48"/>
      <c r="H76" s="48"/>
      <c r="I76" s="48"/>
      <c r="J76" s="33"/>
      <c r="K76" s="33"/>
      <c r="L76" s="33"/>
      <c r="M76" s="33"/>
      <c r="N76" s="33"/>
      <c r="O76" s="34"/>
      <c r="P76" s="49">
        <f t="shared" si="14"/>
        <v>0</v>
      </c>
      <c r="Q76" s="35">
        <f t="shared" si="15"/>
        <v>0</v>
      </c>
    </row>
    <row r="77" spans="1:17" x14ac:dyDescent="0.25">
      <c r="A77" s="3"/>
      <c r="B77" s="9"/>
      <c r="C77" s="25" t="s">
        <v>117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  <c r="P77" s="49">
        <f t="shared" si="14"/>
        <v>0</v>
      </c>
      <c r="Q77" s="35">
        <f t="shared" si="15"/>
        <v>0</v>
      </c>
    </row>
    <row r="78" spans="1:17" x14ac:dyDescent="0.25">
      <c r="A78" s="3"/>
      <c r="B78" s="9"/>
      <c r="C78" s="25" t="s">
        <v>70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2"/>
      <c r="O78" s="34"/>
      <c r="P78" s="49">
        <f t="shared" si="14"/>
        <v>0</v>
      </c>
      <c r="Q78" s="35">
        <f t="shared" si="15"/>
        <v>0</v>
      </c>
    </row>
    <row r="79" spans="1:17" x14ac:dyDescent="0.25">
      <c r="A79" s="3"/>
      <c r="B79" s="9"/>
      <c r="C79" t="s">
        <v>71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2"/>
      <c r="O79" s="34"/>
      <c r="P79" s="49">
        <f t="shared" si="14"/>
        <v>0</v>
      </c>
      <c r="Q79" s="35">
        <f t="shared" si="15"/>
        <v>0</v>
      </c>
    </row>
    <row r="80" spans="1:17" x14ac:dyDescent="0.25">
      <c r="A80" s="3"/>
      <c r="B80" s="9"/>
      <c r="C80" t="s">
        <v>45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  <c r="P80" s="49">
        <f t="shared" si="14"/>
        <v>0</v>
      </c>
      <c r="Q80" s="35">
        <f t="shared" si="15"/>
        <v>0</v>
      </c>
    </row>
    <row r="81" spans="1:17" x14ac:dyDescent="0.25">
      <c r="A81" s="3" t="s">
        <v>109</v>
      </c>
      <c r="B81" s="9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49"/>
      <c r="O81" s="34"/>
      <c r="P81" s="5"/>
      <c r="Q81" s="13"/>
    </row>
    <row r="82" spans="1:17" x14ac:dyDescent="0.25">
      <c r="A82" s="3"/>
      <c r="B82" s="9"/>
      <c r="C82" t="s">
        <v>82</v>
      </c>
      <c r="D82" s="33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8"/>
      <c r="P82" s="37">
        <f t="shared" ref="P82" si="16">SUM(D82:O82)</f>
        <v>0</v>
      </c>
      <c r="Q82" s="37">
        <f t="shared" ref="Q82" si="17">P82/$Q$2</f>
        <v>0</v>
      </c>
    </row>
    <row r="83" spans="1:17" x14ac:dyDescent="0.25">
      <c r="A83" s="3"/>
      <c r="B83" s="9"/>
      <c r="C83" s="25" t="s">
        <v>46</v>
      </c>
      <c r="D83" s="33"/>
      <c r="E83" s="33"/>
      <c r="F83" s="33"/>
      <c r="G83" s="33"/>
      <c r="H83" s="33"/>
      <c r="I83" s="33"/>
      <c r="J83" s="33"/>
      <c r="K83" s="49"/>
      <c r="L83" s="33"/>
      <c r="M83" s="33"/>
      <c r="N83" s="33"/>
      <c r="O83" s="34"/>
      <c r="P83" s="49">
        <f t="shared" si="14"/>
        <v>0</v>
      </c>
      <c r="Q83" s="35">
        <f t="shared" si="15"/>
        <v>0</v>
      </c>
    </row>
    <row r="84" spans="1:17" x14ac:dyDescent="0.25">
      <c r="A84" s="3" t="s">
        <v>21</v>
      </c>
      <c r="B84" s="9"/>
      <c r="D84" s="2"/>
      <c r="E84" s="2"/>
      <c r="G84" s="2"/>
      <c r="H84" s="2"/>
      <c r="I84" s="2"/>
      <c r="J84" s="2"/>
      <c r="K84" s="13"/>
      <c r="L84" s="2"/>
      <c r="M84" s="2"/>
      <c r="N84" s="2"/>
      <c r="O84" s="17"/>
      <c r="P84" s="5"/>
      <c r="Q84" s="13"/>
    </row>
    <row r="85" spans="1:17" x14ac:dyDescent="0.25">
      <c r="A85" s="3"/>
      <c r="B85" s="9"/>
      <c r="C85" s="25" t="s">
        <v>72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  <c r="P85" s="49">
        <f t="shared" ref="P85:P97" si="18">SUM(D85:O85)</f>
        <v>0</v>
      </c>
      <c r="Q85" s="35">
        <f t="shared" ref="Q85:Q97" si="19">P85/$Q$2</f>
        <v>0</v>
      </c>
    </row>
    <row r="86" spans="1:17" x14ac:dyDescent="0.25">
      <c r="A86" s="3"/>
      <c r="B86" s="9"/>
      <c r="C86" s="25" t="s">
        <v>133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49">
        <f t="shared" si="18"/>
        <v>0</v>
      </c>
      <c r="Q86" s="35">
        <f t="shared" si="19"/>
        <v>0</v>
      </c>
    </row>
    <row r="87" spans="1:17" x14ac:dyDescent="0.25">
      <c r="A87" s="3"/>
      <c r="B87" s="9"/>
      <c r="C87" s="25" t="s">
        <v>73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49">
        <f t="shared" si="18"/>
        <v>0</v>
      </c>
      <c r="Q87" s="35">
        <f t="shared" si="19"/>
        <v>0</v>
      </c>
    </row>
    <row r="88" spans="1:17" x14ac:dyDescent="0.25">
      <c r="A88" s="3"/>
      <c r="B88" s="9"/>
      <c r="C88" s="25" t="s">
        <v>49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49">
        <f t="shared" si="18"/>
        <v>0</v>
      </c>
      <c r="Q88" s="35">
        <f t="shared" si="19"/>
        <v>0</v>
      </c>
    </row>
    <row r="89" spans="1:17" x14ac:dyDescent="0.25">
      <c r="A89" s="3"/>
      <c r="B89" s="9"/>
      <c r="C89" s="25" t="s">
        <v>77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49">
        <f t="shared" si="18"/>
        <v>0</v>
      </c>
      <c r="Q89" s="35">
        <f t="shared" si="19"/>
        <v>0</v>
      </c>
    </row>
    <row r="90" spans="1:17" x14ac:dyDescent="0.25">
      <c r="A90" s="3"/>
      <c r="B90" s="9"/>
      <c r="C90" s="25" t="s">
        <v>20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49">
        <f t="shared" si="18"/>
        <v>0</v>
      </c>
      <c r="Q90" s="35">
        <f t="shared" si="19"/>
        <v>0</v>
      </c>
    </row>
    <row r="91" spans="1:17" x14ac:dyDescent="0.25">
      <c r="A91" s="3"/>
      <c r="B91" s="9"/>
      <c r="C91" s="25" t="s">
        <v>90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49">
        <f t="shared" si="18"/>
        <v>0</v>
      </c>
      <c r="Q91" s="35">
        <f t="shared" si="19"/>
        <v>0</v>
      </c>
    </row>
    <row r="92" spans="1:17" x14ac:dyDescent="0.25">
      <c r="A92" s="3"/>
      <c r="B92" s="9"/>
      <c r="C92" s="25" t="s">
        <v>148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  <c r="P92" s="49">
        <f t="shared" si="18"/>
        <v>0</v>
      </c>
      <c r="Q92" s="35">
        <f t="shared" si="19"/>
        <v>0</v>
      </c>
    </row>
    <row r="93" spans="1:17" x14ac:dyDescent="0.25">
      <c r="A93" s="3"/>
      <c r="B93" s="9"/>
      <c r="C93" s="25" t="s">
        <v>173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  <c r="P93" s="49"/>
      <c r="Q93" s="35"/>
    </row>
    <row r="94" spans="1:17" x14ac:dyDescent="0.25">
      <c r="A94" s="3"/>
      <c r="B94" s="9"/>
      <c r="C94" s="25" t="s">
        <v>174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  <c r="P94" s="49"/>
      <c r="Q94" s="35"/>
    </row>
    <row r="95" spans="1:17" x14ac:dyDescent="0.25">
      <c r="A95" s="3"/>
      <c r="B95" s="9"/>
      <c r="C95" s="25" t="s">
        <v>176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  <c r="P95" s="49"/>
      <c r="Q95" s="35"/>
    </row>
    <row r="96" spans="1:17" x14ac:dyDescent="0.25">
      <c r="A96" s="3"/>
      <c r="B96" s="9"/>
      <c r="C96" s="25" t="s">
        <v>177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  <c r="P96" s="49"/>
      <c r="Q96" s="35"/>
    </row>
    <row r="97" spans="1:17" x14ac:dyDescent="0.25">
      <c r="B97" s="9"/>
      <c r="C97" s="25" t="s">
        <v>75</v>
      </c>
      <c r="D97" s="33"/>
      <c r="E97" s="33"/>
      <c r="F97" s="33"/>
      <c r="G97" s="33"/>
      <c r="H97" s="33"/>
      <c r="I97" s="33"/>
      <c r="J97" s="33"/>
      <c r="K97" s="35"/>
      <c r="L97" s="33"/>
      <c r="M97" s="33"/>
      <c r="N97" s="33"/>
      <c r="O97" s="34"/>
      <c r="P97" s="49">
        <f t="shared" si="18"/>
        <v>0</v>
      </c>
      <c r="Q97" s="35">
        <f t="shared" si="19"/>
        <v>0</v>
      </c>
    </row>
    <row r="98" spans="1:17" x14ac:dyDescent="0.25">
      <c r="A98" s="3" t="s">
        <v>103</v>
      </c>
      <c r="B98" s="9"/>
      <c r="C98" s="26"/>
      <c r="D98" s="2"/>
      <c r="E98" s="2"/>
      <c r="G98" s="2"/>
      <c r="H98" s="2"/>
      <c r="I98" s="2"/>
      <c r="J98" s="2"/>
      <c r="K98" s="13"/>
      <c r="L98" s="2"/>
      <c r="M98" s="2"/>
      <c r="N98" s="2"/>
      <c r="O98" s="17"/>
      <c r="P98" s="5"/>
      <c r="Q98" s="13"/>
    </row>
    <row r="99" spans="1:17" x14ac:dyDescent="0.25">
      <c r="A99" s="3"/>
      <c r="B99" s="9"/>
      <c r="C99" s="26" t="s">
        <v>104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49">
        <f t="shared" ref="P99:P102" si="20">SUM(D99:O99)</f>
        <v>0</v>
      </c>
      <c r="Q99" s="35">
        <f t="shared" ref="Q99:Q102" si="21">P99/$Q$2</f>
        <v>0</v>
      </c>
    </row>
    <row r="100" spans="1:17" x14ac:dyDescent="0.25">
      <c r="A100" s="3"/>
      <c r="B100" s="9"/>
      <c r="C100" s="26" t="s">
        <v>111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49">
        <f t="shared" si="20"/>
        <v>0</v>
      </c>
      <c r="Q100" s="35">
        <f t="shared" si="21"/>
        <v>0</v>
      </c>
    </row>
    <row r="101" spans="1:17" x14ac:dyDescent="0.25">
      <c r="A101" s="3"/>
      <c r="B101" s="9"/>
      <c r="C101" s="26" t="s">
        <v>105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4"/>
      <c r="P101" s="49">
        <f t="shared" si="20"/>
        <v>0</v>
      </c>
      <c r="Q101" s="35">
        <f t="shared" si="21"/>
        <v>0</v>
      </c>
    </row>
    <row r="102" spans="1:17" x14ac:dyDescent="0.25">
      <c r="A102" s="25"/>
      <c r="B102" s="9"/>
      <c r="C102" s="26" t="s">
        <v>112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4"/>
      <c r="P102" s="49">
        <f t="shared" si="20"/>
        <v>0</v>
      </c>
      <c r="Q102" s="35">
        <f t="shared" si="21"/>
        <v>0</v>
      </c>
    </row>
    <row r="103" spans="1:17" x14ac:dyDescent="0.25">
      <c r="A103" s="3" t="s">
        <v>83</v>
      </c>
      <c r="B103" s="9"/>
      <c r="C103" s="26"/>
      <c r="D103" s="2"/>
      <c r="E103" s="2"/>
      <c r="G103" s="2"/>
      <c r="H103" s="2"/>
      <c r="I103" s="2"/>
      <c r="J103" s="2"/>
      <c r="K103" s="13"/>
      <c r="L103" s="2"/>
      <c r="M103" s="2"/>
      <c r="N103" s="2"/>
      <c r="O103" s="17"/>
      <c r="P103" s="5"/>
      <c r="Q103" s="13"/>
    </row>
    <row r="104" spans="1:17" x14ac:dyDescent="0.25">
      <c r="A104" s="9"/>
      <c r="B104" s="9">
        <v>99</v>
      </c>
      <c r="C104" s="25" t="s">
        <v>55</v>
      </c>
      <c r="D104" s="33"/>
      <c r="E104" s="33"/>
      <c r="F104" s="33"/>
      <c r="G104" s="33"/>
      <c r="H104" s="33"/>
      <c r="I104" s="33"/>
      <c r="J104" s="33"/>
      <c r="K104" s="35"/>
      <c r="L104" s="33"/>
      <c r="M104" s="33"/>
      <c r="N104" s="33"/>
      <c r="O104" s="34"/>
      <c r="P104" s="49">
        <f t="shared" ref="P104:P111" si="22">SUM(D104:O104)</f>
        <v>0</v>
      </c>
      <c r="Q104" s="35">
        <f t="shared" ref="Q104:Q111" si="23">P104/$Q$2</f>
        <v>0</v>
      </c>
    </row>
    <row r="105" spans="1:17" x14ac:dyDescent="0.25">
      <c r="A105" s="9"/>
      <c r="B105" s="9"/>
      <c r="C105" s="25" t="s">
        <v>80</v>
      </c>
      <c r="D105" s="33"/>
      <c r="E105" s="33"/>
      <c r="F105" s="33"/>
      <c r="G105" s="33"/>
      <c r="H105" s="33"/>
      <c r="I105" s="33"/>
      <c r="J105" s="33"/>
      <c r="K105" s="35"/>
      <c r="L105" s="33"/>
      <c r="M105" s="33"/>
      <c r="N105" s="33"/>
      <c r="O105" s="34"/>
      <c r="P105" s="49">
        <f t="shared" si="22"/>
        <v>0</v>
      </c>
      <c r="Q105" s="35">
        <f t="shared" si="23"/>
        <v>0</v>
      </c>
    </row>
    <row r="106" spans="1:17" x14ac:dyDescent="0.25">
      <c r="A106" s="9"/>
      <c r="B106" s="9"/>
      <c r="C106" s="25" t="s">
        <v>122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4"/>
      <c r="P106" s="49">
        <f t="shared" si="22"/>
        <v>0</v>
      </c>
      <c r="Q106" s="35">
        <f t="shared" si="23"/>
        <v>0</v>
      </c>
    </row>
    <row r="107" spans="1:17" x14ac:dyDescent="0.25">
      <c r="A107" s="9"/>
      <c r="B107" s="9"/>
      <c r="C107" s="25" t="s">
        <v>132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4"/>
      <c r="P107" s="49">
        <f t="shared" si="22"/>
        <v>0</v>
      </c>
      <c r="Q107" s="35">
        <f t="shared" si="23"/>
        <v>0</v>
      </c>
    </row>
    <row r="108" spans="1:17" x14ac:dyDescent="0.25">
      <c r="A108" s="9"/>
      <c r="B108" s="9"/>
      <c r="C108" s="25" t="s">
        <v>66</v>
      </c>
      <c r="D108" s="33"/>
      <c r="E108" s="33"/>
      <c r="F108" s="33"/>
      <c r="G108" s="33"/>
      <c r="H108" s="33"/>
      <c r="I108" s="33"/>
      <c r="J108" s="33"/>
      <c r="K108" s="35"/>
      <c r="L108" s="33"/>
      <c r="M108" s="33"/>
      <c r="N108" s="33"/>
      <c r="O108" s="34"/>
      <c r="P108" s="49">
        <f t="shared" si="22"/>
        <v>0</v>
      </c>
      <c r="Q108" s="35">
        <f t="shared" si="23"/>
        <v>0</v>
      </c>
    </row>
    <row r="109" spans="1:17" x14ac:dyDescent="0.25">
      <c r="A109" s="9"/>
      <c r="B109" s="9"/>
      <c r="C109" s="25" t="s">
        <v>76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4"/>
      <c r="P109" s="49">
        <f t="shared" si="22"/>
        <v>0</v>
      </c>
      <c r="Q109" s="35">
        <f t="shared" si="23"/>
        <v>0</v>
      </c>
    </row>
    <row r="110" spans="1:17" x14ac:dyDescent="0.25">
      <c r="A110" s="9"/>
      <c r="B110" s="9"/>
      <c r="C110" s="25" t="s">
        <v>172</v>
      </c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4"/>
      <c r="P110" s="49"/>
      <c r="Q110" s="35"/>
    </row>
    <row r="111" spans="1:17" x14ac:dyDescent="0.25">
      <c r="A111" s="9"/>
      <c r="B111" s="9"/>
      <c r="C111" s="25" t="s">
        <v>47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4"/>
      <c r="P111" s="49">
        <f t="shared" si="22"/>
        <v>0</v>
      </c>
      <c r="Q111" s="35">
        <f t="shared" si="23"/>
        <v>0</v>
      </c>
    </row>
    <row r="112" spans="1:17" x14ac:dyDescent="0.25">
      <c r="A112" s="3" t="s">
        <v>2</v>
      </c>
      <c r="D112" s="2"/>
      <c r="E112" s="2"/>
      <c r="G112" s="2"/>
      <c r="H112" s="2"/>
      <c r="I112" s="2"/>
      <c r="J112" s="2"/>
      <c r="K112" s="13"/>
      <c r="L112" s="2"/>
      <c r="M112" s="2"/>
      <c r="N112" s="2"/>
      <c r="O112" s="17"/>
      <c r="P112" s="5"/>
      <c r="Q112" s="13"/>
    </row>
    <row r="113" spans="1:17" x14ac:dyDescent="0.25">
      <c r="B113">
        <v>30</v>
      </c>
      <c r="C113" t="s">
        <v>2</v>
      </c>
      <c r="D113" s="33"/>
      <c r="E113" s="33"/>
      <c r="F113" s="33"/>
      <c r="G113" s="33"/>
      <c r="H113" s="33"/>
      <c r="I113" s="33"/>
      <c r="J113" s="33"/>
      <c r="K113" s="35"/>
      <c r="L113" s="33"/>
      <c r="M113" s="33"/>
      <c r="N113" s="33"/>
      <c r="O113" s="34"/>
      <c r="P113" s="49">
        <f t="shared" ref="P113" si="24">SUM(D113:O113)</f>
        <v>0</v>
      </c>
      <c r="Q113" s="35">
        <f t="shared" ref="Q113" si="25">P113/$Q$2</f>
        <v>0</v>
      </c>
    </row>
    <row r="114" spans="1:17" x14ac:dyDescent="0.25">
      <c r="A114" s="3" t="s">
        <v>18</v>
      </c>
      <c r="D114" s="2"/>
      <c r="E114" s="2"/>
      <c r="G114" s="2"/>
      <c r="H114" s="2"/>
      <c r="I114" s="2"/>
      <c r="J114" s="2"/>
      <c r="K114" s="13"/>
      <c r="L114" s="2"/>
      <c r="M114" s="2"/>
      <c r="N114" s="2"/>
      <c r="O114" s="17"/>
      <c r="P114" s="5"/>
      <c r="Q114" s="13"/>
    </row>
    <row r="115" spans="1:17" x14ac:dyDescent="0.25">
      <c r="C115" s="25" t="s">
        <v>78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4"/>
      <c r="P115" s="49">
        <f t="shared" ref="P115:P132" si="26">SUM(D115:O115)</f>
        <v>0</v>
      </c>
      <c r="Q115" s="35">
        <f t="shared" ref="Q115:Q132" si="27">P115/$Q$2</f>
        <v>0</v>
      </c>
    </row>
    <row r="116" spans="1:17" x14ac:dyDescent="0.25">
      <c r="C116" s="25" t="s">
        <v>158</v>
      </c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4"/>
      <c r="P116" s="49">
        <f t="shared" ref="P116" si="28">SUM(D116:O116)</f>
        <v>0</v>
      </c>
      <c r="Q116" s="35">
        <f t="shared" ref="Q116" si="29">P116/$Q$2</f>
        <v>0</v>
      </c>
    </row>
    <row r="117" spans="1:17" x14ac:dyDescent="0.25">
      <c r="C117" s="25" t="s">
        <v>175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4"/>
      <c r="P117" s="49"/>
      <c r="Q117" s="35"/>
    </row>
    <row r="118" spans="1:17" x14ac:dyDescent="0.25">
      <c r="C118" s="25" t="s">
        <v>127</v>
      </c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4"/>
      <c r="P118" s="49">
        <f t="shared" si="26"/>
        <v>0</v>
      </c>
      <c r="Q118" s="35">
        <f t="shared" si="27"/>
        <v>0</v>
      </c>
    </row>
    <row r="119" spans="1:17" x14ac:dyDescent="0.25">
      <c r="C119" s="25" t="s">
        <v>57</v>
      </c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4"/>
      <c r="P119" s="49">
        <f t="shared" si="26"/>
        <v>0</v>
      </c>
      <c r="Q119" s="35">
        <f t="shared" si="27"/>
        <v>0</v>
      </c>
    </row>
    <row r="120" spans="1:17" x14ac:dyDescent="0.25">
      <c r="C120" s="25" t="s">
        <v>56</v>
      </c>
      <c r="D120" s="33"/>
      <c r="E120" s="33"/>
      <c r="F120" s="33"/>
      <c r="G120" s="33"/>
      <c r="H120" s="33"/>
      <c r="I120" s="33"/>
      <c r="J120" s="33"/>
      <c r="K120" s="35"/>
      <c r="L120" s="33"/>
      <c r="M120" s="33"/>
      <c r="N120" s="33"/>
      <c r="O120" s="34"/>
      <c r="P120" s="49">
        <f t="shared" si="26"/>
        <v>0</v>
      </c>
      <c r="Q120" s="35">
        <f t="shared" si="27"/>
        <v>0</v>
      </c>
    </row>
    <row r="121" spans="1:17" x14ac:dyDescent="0.25">
      <c r="C121" s="25" t="s">
        <v>144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49">
        <f t="shared" si="26"/>
        <v>0</v>
      </c>
      <c r="Q121" s="35">
        <f t="shared" si="27"/>
        <v>0</v>
      </c>
    </row>
    <row r="122" spans="1:17" x14ac:dyDescent="0.25">
      <c r="C122" s="25" t="s">
        <v>145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49">
        <f t="shared" si="26"/>
        <v>0</v>
      </c>
      <c r="Q122" s="35">
        <f t="shared" si="27"/>
        <v>0</v>
      </c>
    </row>
    <row r="123" spans="1:17" x14ac:dyDescent="0.25">
      <c r="C123" s="25" t="s">
        <v>58</v>
      </c>
      <c r="D123" s="33"/>
      <c r="E123" s="33"/>
      <c r="F123" s="32"/>
      <c r="G123" s="33"/>
      <c r="H123" s="33"/>
      <c r="I123" s="33"/>
      <c r="J123" s="33"/>
      <c r="K123" s="33"/>
      <c r="L123" s="33"/>
      <c r="M123" s="33"/>
      <c r="N123" s="33"/>
      <c r="O123" s="34"/>
      <c r="P123" s="49">
        <f t="shared" si="26"/>
        <v>0</v>
      </c>
      <c r="Q123" s="35">
        <f t="shared" si="27"/>
        <v>0</v>
      </c>
    </row>
    <row r="124" spans="1:17" x14ac:dyDescent="0.25">
      <c r="C124" s="25" t="s">
        <v>67</v>
      </c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4"/>
      <c r="P124" s="49">
        <f t="shared" si="26"/>
        <v>0</v>
      </c>
      <c r="Q124" s="35">
        <f t="shared" si="27"/>
        <v>0</v>
      </c>
    </row>
    <row r="125" spans="1:17" x14ac:dyDescent="0.25">
      <c r="C125" s="25" t="s">
        <v>69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4"/>
      <c r="P125" s="49">
        <f t="shared" si="26"/>
        <v>0</v>
      </c>
      <c r="Q125" s="35">
        <f t="shared" si="27"/>
        <v>0</v>
      </c>
    </row>
    <row r="126" spans="1:17" x14ac:dyDescent="0.25">
      <c r="C126" s="25" t="s">
        <v>120</v>
      </c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4"/>
      <c r="P126" s="49">
        <f t="shared" si="26"/>
        <v>0</v>
      </c>
      <c r="Q126" s="35">
        <f t="shared" si="27"/>
        <v>0</v>
      </c>
    </row>
    <row r="127" spans="1:17" x14ac:dyDescent="0.25">
      <c r="C127" s="25" t="s">
        <v>126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49">
        <f t="shared" si="26"/>
        <v>0</v>
      </c>
      <c r="Q127" s="35">
        <f t="shared" si="27"/>
        <v>0</v>
      </c>
    </row>
    <row r="128" spans="1:17" x14ac:dyDescent="0.25">
      <c r="C128" s="25" t="s">
        <v>150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4"/>
      <c r="P128" s="49">
        <f t="shared" si="26"/>
        <v>0</v>
      </c>
      <c r="Q128" s="35">
        <f t="shared" si="27"/>
        <v>0</v>
      </c>
    </row>
    <row r="129" spans="1:17" x14ac:dyDescent="0.25">
      <c r="C129" s="25" t="s">
        <v>138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49">
        <f t="shared" si="26"/>
        <v>0</v>
      </c>
      <c r="Q129" s="35">
        <f t="shared" si="27"/>
        <v>0</v>
      </c>
    </row>
    <row r="130" spans="1:17" x14ac:dyDescent="0.25">
      <c r="C130" s="25" t="s">
        <v>162</v>
      </c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49">
        <f t="shared" si="26"/>
        <v>0</v>
      </c>
      <c r="Q130" s="35">
        <f t="shared" si="27"/>
        <v>0</v>
      </c>
    </row>
    <row r="131" spans="1:17" x14ac:dyDescent="0.25">
      <c r="C131" s="25" t="s">
        <v>163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4"/>
      <c r="P131" s="49">
        <f t="shared" si="26"/>
        <v>0</v>
      </c>
      <c r="Q131" s="35">
        <f t="shared" si="27"/>
        <v>0</v>
      </c>
    </row>
    <row r="132" spans="1:17" x14ac:dyDescent="0.25">
      <c r="C132" s="11" t="s">
        <v>30</v>
      </c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49">
        <f t="shared" si="26"/>
        <v>0</v>
      </c>
      <c r="Q132" s="35">
        <f t="shared" si="27"/>
        <v>0</v>
      </c>
    </row>
    <row r="133" spans="1:17" x14ac:dyDescent="0.25">
      <c r="A133" s="3" t="s">
        <v>3</v>
      </c>
      <c r="C133" s="11"/>
      <c r="D133" s="2"/>
      <c r="E133" s="2"/>
      <c r="G133" s="2"/>
      <c r="H133" s="2"/>
      <c r="I133" s="2"/>
      <c r="J133" s="2"/>
      <c r="K133" s="13"/>
      <c r="L133" s="2"/>
      <c r="M133" s="2"/>
      <c r="N133" s="2"/>
      <c r="O133" s="17"/>
      <c r="P133" s="5"/>
      <c r="Q133" s="13"/>
    </row>
    <row r="134" spans="1:17" x14ac:dyDescent="0.25">
      <c r="A134" s="3"/>
      <c r="C134" t="s">
        <v>168</v>
      </c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4"/>
      <c r="P134" s="49">
        <f t="shared" ref="P134" si="30">SUM(D134:O134)</f>
        <v>0</v>
      </c>
      <c r="Q134" s="35">
        <f t="shared" ref="Q134" si="31">P134/$Q$2</f>
        <v>0</v>
      </c>
    </row>
    <row r="135" spans="1:17" x14ac:dyDescent="0.25">
      <c r="A135" s="3"/>
      <c r="C135" s="26" t="s">
        <v>136</v>
      </c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4"/>
      <c r="P135" s="49">
        <f t="shared" ref="P135" si="32">SUM(D135:O135)</f>
        <v>0</v>
      </c>
      <c r="Q135" s="35">
        <f t="shared" ref="Q135" si="33">P135/$Q$2</f>
        <v>0</v>
      </c>
    </row>
    <row r="136" spans="1:17" x14ac:dyDescent="0.25">
      <c r="A136" s="3" t="s">
        <v>17</v>
      </c>
      <c r="D136" s="2"/>
      <c r="E136" s="2"/>
      <c r="G136" s="2"/>
      <c r="H136" s="2"/>
      <c r="I136" s="2"/>
      <c r="J136" s="2"/>
      <c r="K136" s="13"/>
      <c r="L136" s="2"/>
      <c r="M136" s="2"/>
      <c r="N136" s="2"/>
      <c r="O136" s="17"/>
      <c r="P136" s="5"/>
      <c r="Q136" s="13"/>
    </row>
    <row r="137" spans="1:17" x14ac:dyDescent="0.25">
      <c r="B137">
        <v>2</v>
      </c>
      <c r="C137" t="s">
        <v>17</v>
      </c>
      <c r="D137" s="33"/>
      <c r="E137" s="33"/>
      <c r="F137" s="33"/>
      <c r="G137" s="33"/>
      <c r="H137" s="33"/>
      <c r="I137" s="33"/>
      <c r="J137" s="33"/>
      <c r="K137" s="35"/>
      <c r="L137" s="33"/>
      <c r="M137" s="33"/>
      <c r="N137" s="33"/>
      <c r="O137" s="47"/>
      <c r="P137" s="49">
        <f t="shared" ref="P137:P149" si="34">SUM(D137:O137)</f>
        <v>0</v>
      </c>
      <c r="Q137" s="35">
        <f t="shared" ref="Q137:Q149" si="35">P137/$Q$2</f>
        <v>0</v>
      </c>
    </row>
    <row r="138" spans="1:17" x14ac:dyDescent="0.25">
      <c r="B138">
        <v>3</v>
      </c>
      <c r="C138" t="s">
        <v>19</v>
      </c>
      <c r="D138" s="33"/>
      <c r="E138" s="33"/>
      <c r="F138" s="33"/>
      <c r="G138" s="33"/>
      <c r="H138" s="33"/>
      <c r="I138" s="33"/>
      <c r="J138" s="33"/>
      <c r="K138" s="35"/>
      <c r="L138" s="33"/>
      <c r="M138" s="33"/>
      <c r="N138" s="33"/>
      <c r="O138" s="34"/>
      <c r="P138" s="49">
        <f t="shared" si="34"/>
        <v>0</v>
      </c>
      <c r="Q138" s="35">
        <f t="shared" si="35"/>
        <v>0</v>
      </c>
    </row>
    <row r="139" spans="1:17" x14ac:dyDescent="0.25">
      <c r="B139">
        <v>1</v>
      </c>
      <c r="C139" t="s">
        <v>124</v>
      </c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4"/>
      <c r="P139" s="49">
        <f t="shared" si="34"/>
        <v>0</v>
      </c>
      <c r="Q139" s="35">
        <f t="shared" si="35"/>
        <v>0</v>
      </c>
    </row>
    <row r="140" spans="1:17" x14ac:dyDescent="0.25">
      <c r="B140">
        <v>98</v>
      </c>
      <c r="C140" t="s">
        <v>123</v>
      </c>
      <c r="D140" s="33"/>
      <c r="E140" s="33"/>
      <c r="F140" s="33"/>
      <c r="G140" s="33"/>
      <c r="H140" s="32"/>
      <c r="I140" s="33"/>
      <c r="J140" s="33"/>
      <c r="K140" s="35"/>
      <c r="L140" s="33"/>
      <c r="M140" s="33"/>
      <c r="N140" s="33"/>
      <c r="O140" s="34"/>
      <c r="P140" s="49">
        <f t="shared" si="34"/>
        <v>0</v>
      </c>
      <c r="Q140" s="35">
        <f t="shared" si="35"/>
        <v>0</v>
      </c>
    </row>
    <row r="141" spans="1:17" x14ac:dyDescent="0.25">
      <c r="C141" t="s">
        <v>81</v>
      </c>
      <c r="D141" s="33"/>
      <c r="E141" s="33"/>
      <c r="F141" s="33"/>
      <c r="G141" s="33"/>
      <c r="H141" s="33"/>
      <c r="I141" s="33"/>
      <c r="J141" s="33"/>
      <c r="K141" s="35"/>
      <c r="L141" s="33"/>
      <c r="M141" s="33"/>
      <c r="N141" s="33"/>
      <c r="O141" s="34"/>
      <c r="P141" s="49">
        <f t="shared" si="34"/>
        <v>0</v>
      </c>
      <c r="Q141" s="35">
        <f t="shared" si="35"/>
        <v>0</v>
      </c>
    </row>
    <row r="142" spans="1:17" x14ac:dyDescent="0.25">
      <c r="C142" t="s">
        <v>153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4"/>
      <c r="P142" s="49">
        <f t="shared" si="34"/>
        <v>0</v>
      </c>
      <c r="Q142" s="35">
        <f t="shared" si="35"/>
        <v>0</v>
      </c>
    </row>
    <row r="143" spans="1:17" x14ac:dyDescent="0.25">
      <c r="C143" t="s">
        <v>68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4"/>
      <c r="P143" s="49">
        <f t="shared" si="34"/>
        <v>0</v>
      </c>
      <c r="Q143" s="35">
        <f t="shared" si="35"/>
        <v>0</v>
      </c>
    </row>
    <row r="144" spans="1:17" x14ac:dyDescent="0.25">
      <c r="C144" t="s">
        <v>74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4"/>
      <c r="P144" s="49">
        <f t="shared" si="34"/>
        <v>0</v>
      </c>
      <c r="Q144" s="35">
        <f t="shared" si="35"/>
        <v>0</v>
      </c>
    </row>
    <row r="145" spans="1:21" x14ac:dyDescent="0.25">
      <c r="C145" t="s">
        <v>115</v>
      </c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4"/>
      <c r="P145" s="49">
        <f t="shared" si="34"/>
        <v>0</v>
      </c>
      <c r="Q145" s="35">
        <f t="shared" si="35"/>
        <v>0</v>
      </c>
    </row>
    <row r="146" spans="1:21" x14ac:dyDescent="0.25">
      <c r="C146" t="s">
        <v>119</v>
      </c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4"/>
      <c r="P146" s="49">
        <f t="shared" si="34"/>
        <v>0</v>
      </c>
      <c r="Q146" s="35">
        <f t="shared" si="35"/>
        <v>0</v>
      </c>
    </row>
    <row r="147" spans="1:21" x14ac:dyDescent="0.25">
      <c r="C147" t="s">
        <v>114</v>
      </c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4"/>
      <c r="P147" s="49">
        <f t="shared" si="34"/>
        <v>0</v>
      </c>
      <c r="Q147" s="35">
        <f t="shared" si="35"/>
        <v>0</v>
      </c>
    </row>
    <row r="148" spans="1:21" x14ac:dyDescent="0.25">
      <c r="C148" t="s">
        <v>121</v>
      </c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4"/>
      <c r="P148" s="49">
        <f t="shared" si="34"/>
        <v>0</v>
      </c>
      <c r="Q148" s="35">
        <f t="shared" si="35"/>
        <v>0</v>
      </c>
    </row>
    <row r="149" spans="1:21" x14ac:dyDescent="0.25">
      <c r="C149" t="s">
        <v>79</v>
      </c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4"/>
      <c r="P149" s="49">
        <f t="shared" si="34"/>
        <v>0</v>
      </c>
      <c r="Q149" s="35">
        <f t="shared" si="35"/>
        <v>0</v>
      </c>
    </row>
    <row r="150" spans="1:21" x14ac:dyDescent="0.25">
      <c r="L150" s="2"/>
    </row>
    <row r="153" spans="1:21" x14ac:dyDescent="0.25">
      <c r="A153" s="3" t="s">
        <v>41</v>
      </c>
    </row>
    <row r="154" spans="1:21" x14ac:dyDescent="0.25">
      <c r="A154" s="3"/>
      <c r="C154" t="s">
        <v>85</v>
      </c>
      <c r="D154" s="5">
        <f t="shared" ref="D154:O154" si="36">SUM(D26:D29)</f>
        <v>0</v>
      </c>
      <c r="E154" s="5">
        <f t="shared" si="36"/>
        <v>0</v>
      </c>
      <c r="F154" s="5">
        <f t="shared" si="36"/>
        <v>0</v>
      </c>
      <c r="G154" s="5">
        <f t="shared" si="36"/>
        <v>0</v>
      </c>
      <c r="H154" s="5">
        <f t="shared" si="36"/>
        <v>0</v>
      </c>
      <c r="I154" s="5">
        <f t="shared" si="36"/>
        <v>0</v>
      </c>
      <c r="J154" s="5">
        <f t="shared" si="36"/>
        <v>0</v>
      </c>
      <c r="K154" s="5">
        <f t="shared" si="36"/>
        <v>0</v>
      </c>
      <c r="L154" s="5">
        <f t="shared" si="36"/>
        <v>0</v>
      </c>
      <c r="M154" s="5">
        <f t="shared" si="36"/>
        <v>0</v>
      </c>
      <c r="N154" s="5">
        <f t="shared" si="36"/>
        <v>0</v>
      </c>
      <c r="O154" s="20">
        <f t="shared" si="36"/>
        <v>0</v>
      </c>
    </row>
    <row r="155" spans="1:21" x14ac:dyDescent="0.25">
      <c r="A155" s="3"/>
      <c r="C155" t="s">
        <v>86</v>
      </c>
      <c r="D155" s="5">
        <f t="shared" ref="D155:O155" si="37">SUM(D31:D34)</f>
        <v>0</v>
      </c>
      <c r="E155" s="5">
        <f t="shared" si="37"/>
        <v>0</v>
      </c>
      <c r="F155" s="5">
        <f t="shared" si="37"/>
        <v>0</v>
      </c>
      <c r="G155" s="5">
        <f t="shared" si="37"/>
        <v>0</v>
      </c>
      <c r="H155" s="5">
        <f t="shared" si="37"/>
        <v>0</v>
      </c>
      <c r="I155" s="5">
        <f t="shared" si="37"/>
        <v>0</v>
      </c>
      <c r="J155" s="5">
        <f t="shared" si="37"/>
        <v>0</v>
      </c>
      <c r="K155" s="5">
        <f t="shared" si="37"/>
        <v>0</v>
      </c>
      <c r="L155" s="5">
        <f t="shared" si="37"/>
        <v>0</v>
      </c>
      <c r="M155" s="5">
        <f t="shared" si="37"/>
        <v>0</v>
      </c>
      <c r="N155" s="5">
        <f t="shared" si="37"/>
        <v>0</v>
      </c>
      <c r="O155" s="20">
        <f t="shared" si="37"/>
        <v>0</v>
      </c>
    </row>
    <row r="156" spans="1:21" x14ac:dyDescent="0.25">
      <c r="C156" s="25" t="s">
        <v>125</v>
      </c>
      <c r="D156" s="5">
        <f t="shared" ref="D156:O156" si="38">SUM(D22:D24)</f>
        <v>0</v>
      </c>
      <c r="E156" s="5">
        <f t="shared" si="38"/>
        <v>0</v>
      </c>
      <c r="F156" s="5">
        <f t="shared" si="38"/>
        <v>0</v>
      </c>
      <c r="G156" s="5">
        <f t="shared" si="38"/>
        <v>0</v>
      </c>
      <c r="H156" s="5">
        <f t="shared" si="38"/>
        <v>0</v>
      </c>
      <c r="I156" s="5">
        <f t="shared" si="38"/>
        <v>0</v>
      </c>
      <c r="J156" s="5">
        <f t="shared" si="38"/>
        <v>0</v>
      </c>
      <c r="K156" s="5">
        <f t="shared" si="38"/>
        <v>0</v>
      </c>
      <c r="L156" s="5">
        <f t="shared" si="38"/>
        <v>0</v>
      </c>
      <c r="M156" s="5">
        <f t="shared" si="38"/>
        <v>0</v>
      </c>
      <c r="N156" s="5">
        <f t="shared" si="38"/>
        <v>0</v>
      </c>
      <c r="O156" s="20">
        <f t="shared" si="38"/>
        <v>0</v>
      </c>
    </row>
    <row r="157" spans="1:21" x14ac:dyDescent="0.25">
      <c r="C157" s="25" t="s">
        <v>142</v>
      </c>
      <c r="D157" s="5">
        <f t="shared" ref="D157:O157" si="39">SUM(D14:D20)</f>
        <v>0</v>
      </c>
      <c r="E157" s="5">
        <f t="shared" si="39"/>
        <v>0</v>
      </c>
      <c r="F157" s="5">
        <f t="shared" si="39"/>
        <v>0</v>
      </c>
      <c r="G157" s="5">
        <f t="shared" si="39"/>
        <v>0</v>
      </c>
      <c r="H157" s="5">
        <f t="shared" si="39"/>
        <v>0</v>
      </c>
      <c r="I157" s="5">
        <f t="shared" si="39"/>
        <v>0</v>
      </c>
      <c r="J157" s="5">
        <f t="shared" si="39"/>
        <v>0</v>
      </c>
      <c r="K157" s="5">
        <f t="shared" si="39"/>
        <v>0</v>
      </c>
      <c r="L157" s="5">
        <f t="shared" si="39"/>
        <v>0</v>
      </c>
      <c r="M157" s="5">
        <f t="shared" si="39"/>
        <v>0</v>
      </c>
      <c r="N157" s="5">
        <f t="shared" si="39"/>
        <v>0</v>
      </c>
      <c r="O157" s="20">
        <f t="shared" si="39"/>
        <v>0</v>
      </c>
    </row>
    <row r="158" spans="1:21" x14ac:dyDescent="0.25">
      <c r="C158" s="3" t="s">
        <v>84</v>
      </c>
      <c r="D158" s="10">
        <f t="shared" ref="D158:O158" si="40">SUM(D14:D24)</f>
        <v>0</v>
      </c>
      <c r="E158" s="10">
        <f t="shared" si="40"/>
        <v>0</v>
      </c>
      <c r="F158" s="10">
        <f t="shared" si="40"/>
        <v>0</v>
      </c>
      <c r="G158" s="10">
        <f t="shared" si="40"/>
        <v>0</v>
      </c>
      <c r="H158" s="10">
        <f t="shared" si="40"/>
        <v>0</v>
      </c>
      <c r="I158" s="10">
        <f t="shared" si="40"/>
        <v>0</v>
      </c>
      <c r="J158" s="10">
        <f t="shared" si="40"/>
        <v>0</v>
      </c>
      <c r="K158" s="10">
        <f t="shared" si="40"/>
        <v>0</v>
      </c>
      <c r="L158" s="10">
        <f t="shared" si="40"/>
        <v>0</v>
      </c>
      <c r="M158" s="10">
        <f t="shared" si="40"/>
        <v>0</v>
      </c>
      <c r="N158" s="10">
        <f t="shared" si="40"/>
        <v>0</v>
      </c>
      <c r="O158" s="15">
        <f t="shared" si="40"/>
        <v>0</v>
      </c>
    </row>
    <row r="159" spans="1:21" x14ac:dyDescent="0.25">
      <c r="C159" s="3"/>
      <c r="D159" s="5"/>
      <c r="E159" s="5"/>
      <c r="F159" s="5"/>
      <c r="G159" s="5"/>
      <c r="H159" s="5"/>
      <c r="I159" s="5"/>
      <c r="J159" s="5"/>
      <c r="R159" s="53" t="s">
        <v>44</v>
      </c>
      <c r="S159" s="53"/>
      <c r="T159" s="53"/>
      <c r="U159" s="53"/>
    </row>
    <row r="160" spans="1:21" x14ac:dyDescent="0.25">
      <c r="A160" s="3" t="s">
        <v>42</v>
      </c>
      <c r="R160" s="30" t="s">
        <v>43</v>
      </c>
      <c r="S160" s="1" t="s">
        <v>62</v>
      </c>
      <c r="T160" s="1" t="s">
        <v>63</v>
      </c>
      <c r="U160" s="1" t="s">
        <v>64</v>
      </c>
    </row>
    <row r="161" spans="3:24" x14ac:dyDescent="0.25">
      <c r="C161" s="3" t="s">
        <v>25</v>
      </c>
      <c r="D161" s="5">
        <f t="shared" ref="D161:O161" si="41">SUM(D3:D12)</f>
        <v>0</v>
      </c>
      <c r="E161" s="5">
        <f t="shared" si="41"/>
        <v>0</v>
      </c>
      <c r="F161" s="5">
        <f t="shared" si="41"/>
        <v>0</v>
      </c>
      <c r="G161" s="5">
        <f t="shared" si="41"/>
        <v>0</v>
      </c>
      <c r="H161" s="5">
        <f t="shared" si="41"/>
        <v>0</v>
      </c>
      <c r="I161" s="5">
        <f t="shared" si="41"/>
        <v>0</v>
      </c>
      <c r="J161" s="5">
        <f t="shared" si="41"/>
        <v>0</v>
      </c>
      <c r="K161" s="5">
        <f t="shared" si="41"/>
        <v>0</v>
      </c>
      <c r="L161" s="5">
        <f t="shared" si="41"/>
        <v>0</v>
      </c>
      <c r="M161" s="5">
        <f t="shared" si="41"/>
        <v>0</v>
      </c>
      <c r="N161" s="5">
        <f t="shared" si="41"/>
        <v>0</v>
      </c>
      <c r="O161" s="20">
        <f t="shared" si="41"/>
        <v>0</v>
      </c>
      <c r="P161" s="5">
        <f t="shared" ref="P161:P177" si="42">SUM(D161:O161)</f>
        <v>0</v>
      </c>
      <c r="Q161" s="13">
        <f t="shared" ref="Q161:Q177" si="43">P161/$Q$2</f>
        <v>0</v>
      </c>
      <c r="R161" s="12" t="e">
        <f>#REF!</f>
        <v>#REF!</v>
      </c>
      <c r="S161" s="24" t="e">
        <f>Q161/R161-1</f>
        <v>#REF!</v>
      </c>
      <c r="T161" s="12" t="e">
        <f>Q161-R161</f>
        <v>#REF!</v>
      </c>
      <c r="U161" s="12" t="e">
        <f>T161*12</f>
        <v>#REF!</v>
      </c>
      <c r="V161" s="12"/>
      <c r="W161" s="12"/>
      <c r="X161" s="12"/>
    </row>
    <row r="162" spans="3:24" x14ac:dyDescent="0.25">
      <c r="C162" s="3" t="s">
        <v>36</v>
      </c>
      <c r="D162" s="5">
        <f t="shared" ref="D162:O162" si="44">-SUM(D36:D41)</f>
        <v>0</v>
      </c>
      <c r="E162" s="5">
        <f t="shared" si="44"/>
        <v>0</v>
      </c>
      <c r="F162" s="5">
        <f t="shared" si="44"/>
        <v>0</v>
      </c>
      <c r="G162" s="5">
        <f t="shared" si="44"/>
        <v>0</v>
      </c>
      <c r="H162" s="5">
        <f t="shared" si="44"/>
        <v>0</v>
      </c>
      <c r="I162" s="5">
        <f t="shared" si="44"/>
        <v>0</v>
      </c>
      <c r="J162" s="5">
        <f t="shared" si="44"/>
        <v>0</v>
      </c>
      <c r="K162" s="5">
        <f t="shared" si="44"/>
        <v>0</v>
      </c>
      <c r="L162" s="5">
        <f t="shared" si="44"/>
        <v>0</v>
      </c>
      <c r="M162" s="5">
        <f t="shared" si="44"/>
        <v>0</v>
      </c>
      <c r="N162" s="5">
        <f t="shared" si="44"/>
        <v>0</v>
      </c>
      <c r="O162" s="20">
        <f t="shared" si="44"/>
        <v>0</v>
      </c>
      <c r="P162" s="5">
        <f t="shared" si="42"/>
        <v>0</v>
      </c>
      <c r="Q162" s="13">
        <f t="shared" si="43"/>
        <v>0</v>
      </c>
      <c r="R162" s="12" t="e">
        <f>#REF!</f>
        <v>#REF!</v>
      </c>
      <c r="S162" s="24" t="e">
        <f t="shared" ref="S162:S177" si="45">Q162/R162-1</f>
        <v>#REF!</v>
      </c>
      <c r="T162" s="6" t="e">
        <f t="shared" ref="T162:T177" si="46">Q162-R162</f>
        <v>#REF!</v>
      </c>
      <c r="U162" s="6" t="e">
        <f t="shared" ref="U162:U177" si="47">T162*12</f>
        <v>#REF!</v>
      </c>
      <c r="V162" s="12"/>
      <c r="W162" s="12"/>
      <c r="X162" s="12"/>
    </row>
    <row r="163" spans="3:24" x14ac:dyDescent="0.25">
      <c r="C163" s="3" t="s">
        <v>38</v>
      </c>
      <c r="D163" s="5">
        <f>SUM(D43:D45)-SUM(D46:D53)</f>
        <v>0</v>
      </c>
      <c r="E163" s="5">
        <f t="shared" ref="E163:O163" si="48">SUM(E43:E45)-SUM(E46:E53)</f>
        <v>0</v>
      </c>
      <c r="F163" s="5">
        <f t="shared" si="48"/>
        <v>0</v>
      </c>
      <c r="G163" s="5">
        <f t="shared" si="48"/>
        <v>0</v>
      </c>
      <c r="H163" s="5">
        <f t="shared" si="48"/>
        <v>0</v>
      </c>
      <c r="I163" s="5">
        <f t="shared" si="48"/>
        <v>0</v>
      </c>
      <c r="J163" s="5">
        <f t="shared" si="48"/>
        <v>0</v>
      </c>
      <c r="K163" s="5">
        <f t="shared" si="48"/>
        <v>0</v>
      </c>
      <c r="L163" s="5">
        <f t="shared" si="48"/>
        <v>0</v>
      </c>
      <c r="M163" s="5">
        <f t="shared" si="48"/>
        <v>0</v>
      </c>
      <c r="N163" s="5">
        <f t="shared" si="48"/>
        <v>0</v>
      </c>
      <c r="O163" s="20">
        <f t="shared" si="48"/>
        <v>0</v>
      </c>
      <c r="P163" s="5">
        <f t="shared" si="42"/>
        <v>0</v>
      </c>
      <c r="Q163" s="13">
        <f t="shared" si="43"/>
        <v>0</v>
      </c>
      <c r="R163" s="12" t="e">
        <f>#REF!</f>
        <v>#REF!</v>
      </c>
      <c r="S163" s="24" t="e">
        <f t="shared" si="45"/>
        <v>#REF!</v>
      </c>
      <c r="T163" s="6" t="e">
        <f t="shared" si="46"/>
        <v>#REF!</v>
      </c>
      <c r="U163" s="6" t="e">
        <f t="shared" si="47"/>
        <v>#REF!</v>
      </c>
      <c r="V163" s="12"/>
      <c r="W163" s="12"/>
      <c r="X163" s="12"/>
    </row>
    <row r="164" spans="3:24" x14ac:dyDescent="0.25">
      <c r="C164" s="3" t="s">
        <v>31</v>
      </c>
      <c r="D164" s="5">
        <f t="shared" ref="D164:O164" si="49">-SUM(D55)</f>
        <v>0</v>
      </c>
      <c r="E164" s="5">
        <f t="shared" si="49"/>
        <v>0</v>
      </c>
      <c r="F164" s="5">
        <f t="shared" si="49"/>
        <v>0</v>
      </c>
      <c r="G164" s="5">
        <f t="shared" si="49"/>
        <v>0</v>
      </c>
      <c r="H164" s="5">
        <f t="shared" si="49"/>
        <v>0</v>
      </c>
      <c r="I164" s="5">
        <f t="shared" si="49"/>
        <v>0</v>
      </c>
      <c r="J164" s="5">
        <f t="shared" si="49"/>
        <v>0</v>
      </c>
      <c r="K164" s="5">
        <f t="shared" si="49"/>
        <v>0</v>
      </c>
      <c r="L164" s="5">
        <f t="shared" si="49"/>
        <v>0</v>
      </c>
      <c r="M164" s="5">
        <f t="shared" si="49"/>
        <v>0</v>
      </c>
      <c r="N164" s="5">
        <f t="shared" si="49"/>
        <v>0</v>
      </c>
      <c r="O164" s="20">
        <f t="shared" si="49"/>
        <v>0</v>
      </c>
      <c r="P164" s="5">
        <f t="shared" si="42"/>
        <v>0</v>
      </c>
      <c r="Q164" s="13">
        <f t="shared" si="43"/>
        <v>0</v>
      </c>
      <c r="R164" s="12" t="e">
        <f>#REF!</f>
        <v>#REF!</v>
      </c>
      <c r="S164" s="24" t="e">
        <f>IF(R164&lt;&gt;0,Q164/R164-1,)</f>
        <v>#REF!</v>
      </c>
      <c r="T164" s="6" t="e">
        <f t="shared" si="46"/>
        <v>#REF!</v>
      </c>
      <c r="U164" s="6" t="e">
        <f t="shared" si="47"/>
        <v>#REF!</v>
      </c>
      <c r="V164" s="12"/>
      <c r="W164" s="12"/>
      <c r="X164" s="12"/>
    </row>
    <row r="165" spans="3:24" x14ac:dyDescent="0.25">
      <c r="C165" s="3" t="s">
        <v>60</v>
      </c>
      <c r="D165" s="5">
        <f t="shared" ref="D165:O165" si="50">-SUM(D57)</f>
        <v>0</v>
      </c>
      <c r="E165" s="5">
        <f t="shared" si="50"/>
        <v>0</v>
      </c>
      <c r="F165" s="5">
        <f t="shared" si="50"/>
        <v>0</v>
      </c>
      <c r="G165" s="5">
        <f t="shared" si="50"/>
        <v>0</v>
      </c>
      <c r="H165" s="5">
        <f t="shared" si="50"/>
        <v>0</v>
      </c>
      <c r="I165" s="5">
        <f t="shared" si="50"/>
        <v>0</v>
      </c>
      <c r="J165" s="5">
        <f t="shared" si="50"/>
        <v>0</v>
      </c>
      <c r="K165" s="5">
        <f t="shared" si="50"/>
        <v>0</v>
      </c>
      <c r="L165" s="5">
        <f t="shared" si="50"/>
        <v>0</v>
      </c>
      <c r="M165" s="5">
        <f t="shared" si="50"/>
        <v>0</v>
      </c>
      <c r="N165" s="5">
        <f t="shared" si="50"/>
        <v>0</v>
      </c>
      <c r="O165" s="20">
        <f t="shared" si="50"/>
        <v>0</v>
      </c>
      <c r="P165" s="5">
        <f t="shared" si="42"/>
        <v>0</v>
      </c>
      <c r="Q165" s="13">
        <f t="shared" si="43"/>
        <v>0</v>
      </c>
      <c r="R165" s="12" t="e">
        <f>#REF!</f>
        <v>#REF!</v>
      </c>
      <c r="S165" s="24" t="e">
        <f t="shared" si="45"/>
        <v>#REF!</v>
      </c>
      <c r="T165" s="6" t="e">
        <f t="shared" si="46"/>
        <v>#REF!</v>
      </c>
      <c r="U165" s="6" t="e">
        <f t="shared" si="47"/>
        <v>#REF!</v>
      </c>
      <c r="V165" s="12"/>
      <c r="W165" s="12"/>
      <c r="X165" s="12"/>
    </row>
    <row r="166" spans="3:24" x14ac:dyDescent="0.25">
      <c r="C166" s="3" t="s">
        <v>22</v>
      </c>
      <c r="D166" s="5">
        <f t="shared" ref="D166:O166" si="51">SUM(D59)-SUM(D60:D64)</f>
        <v>0</v>
      </c>
      <c r="E166" s="5">
        <f t="shared" si="51"/>
        <v>0</v>
      </c>
      <c r="F166" s="5">
        <f t="shared" si="51"/>
        <v>0</v>
      </c>
      <c r="G166" s="5">
        <f t="shared" si="51"/>
        <v>0</v>
      </c>
      <c r="H166" s="5">
        <f t="shared" si="51"/>
        <v>0</v>
      </c>
      <c r="I166" s="5">
        <f t="shared" si="51"/>
        <v>0</v>
      </c>
      <c r="J166" s="5">
        <f t="shared" si="51"/>
        <v>0</v>
      </c>
      <c r="K166" s="5">
        <f t="shared" si="51"/>
        <v>0</v>
      </c>
      <c r="L166" s="5">
        <f t="shared" si="51"/>
        <v>0</v>
      </c>
      <c r="M166" s="5">
        <f t="shared" si="51"/>
        <v>0</v>
      </c>
      <c r="N166" s="5">
        <f t="shared" si="51"/>
        <v>0</v>
      </c>
      <c r="O166" s="20">
        <f t="shared" si="51"/>
        <v>0</v>
      </c>
      <c r="P166" s="5">
        <f t="shared" si="42"/>
        <v>0</v>
      </c>
      <c r="Q166" s="13">
        <f t="shared" si="43"/>
        <v>0</v>
      </c>
      <c r="R166" s="12" t="e">
        <f>#REF!</f>
        <v>#REF!</v>
      </c>
      <c r="S166" s="24" t="e">
        <f t="shared" si="45"/>
        <v>#REF!</v>
      </c>
      <c r="T166" s="6" t="e">
        <f t="shared" si="46"/>
        <v>#REF!</v>
      </c>
      <c r="U166" s="6" t="e">
        <f t="shared" si="47"/>
        <v>#REF!</v>
      </c>
      <c r="V166" s="12"/>
      <c r="W166" s="12"/>
      <c r="X166" s="12"/>
    </row>
    <row r="167" spans="3:24" x14ac:dyDescent="0.25">
      <c r="C167" s="3" t="s">
        <v>37</v>
      </c>
      <c r="D167" s="5">
        <f t="shared" ref="D167:O167" si="52">-SUM(D66:D71)</f>
        <v>0</v>
      </c>
      <c r="E167" s="5">
        <f t="shared" si="52"/>
        <v>0</v>
      </c>
      <c r="F167" s="5">
        <f t="shared" si="52"/>
        <v>0</v>
      </c>
      <c r="G167" s="5">
        <f t="shared" si="52"/>
        <v>0</v>
      </c>
      <c r="H167" s="5">
        <f t="shared" si="52"/>
        <v>0</v>
      </c>
      <c r="I167" s="5">
        <f t="shared" si="52"/>
        <v>0</v>
      </c>
      <c r="J167" s="5">
        <f t="shared" si="52"/>
        <v>0</v>
      </c>
      <c r="K167" s="5">
        <f t="shared" si="52"/>
        <v>0</v>
      </c>
      <c r="L167" s="5">
        <f t="shared" si="52"/>
        <v>0</v>
      </c>
      <c r="M167" s="5">
        <f t="shared" si="52"/>
        <v>0</v>
      </c>
      <c r="N167" s="5">
        <f t="shared" si="52"/>
        <v>0</v>
      </c>
      <c r="O167" s="20">
        <f t="shared" si="52"/>
        <v>0</v>
      </c>
      <c r="P167" s="5">
        <f t="shared" si="42"/>
        <v>0</v>
      </c>
      <c r="Q167" s="13">
        <f t="shared" si="43"/>
        <v>0</v>
      </c>
      <c r="R167" s="12" t="e">
        <f>#REF!</f>
        <v>#REF!</v>
      </c>
      <c r="S167" s="24" t="e">
        <f t="shared" si="45"/>
        <v>#REF!</v>
      </c>
      <c r="T167" s="6" t="e">
        <f t="shared" si="46"/>
        <v>#REF!</v>
      </c>
      <c r="U167" s="6" t="e">
        <f t="shared" si="47"/>
        <v>#REF!</v>
      </c>
      <c r="V167" s="12"/>
      <c r="W167" s="12"/>
      <c r="X167" s="12"/>
    </row>
    <row r="168" spans="3:24" x14ac:dyDescent="0.25">
      <c r="C168" s="3" t="s">
        <v>54</v>
      </c>
      <c r="D168" s="12">
        <f t="shared" ref="D168:O168" si="53">D73-SUM(D74:D80)</f>
        <v>0</v>
      </c>
      <c r="E168" s="12">
        <f t="shared" si="53"/>
        <v>0</v>
      </c>
      <c r="F168" s="12">
        <f t="shared" si="53"/>
        <v>0</v>
      </c>
      <c r="G168" s="12">
        <f t="shared" si="53"/>
        <v>0</v>
      </c>
      <c r="H168" s="12">
        <f t="shared" si="53"/>
        <v>0</v>
      </c>
      <c r="I168" s="12">
        <f t="shared" si="53"/>
        <v>0</v>
      </c>
      <c r="J168" s="12">
        <f t="shared" si="53"/>
        <v>0</v>
      </c>
      <c r="K168" s="12">
        <f t="shared" si="53"/>
        <v>0</v>
      </c>
      <c r="L168" s="12">
        <f t="shared" si="53"/>
        <v>0</v>
      </c>
      <c r="M168" s="12">
        <f t="shared" si="53"/>
        <v>0</v>
      </c>
      <c r="N168" s="12">
        <f t="shared" si="53"/>
        <v>0</v>
      </c>
      <c r="O168" s="21">
        <f t="shared" si="53"/>
        <v>0</v>
      </c>
      <c r="P168" s="5">
        <f t="shared" si="42"/>
        <v>0</v>
      </c>
      <c r="Q168" s="13">
        <f t="shared" si="43"/>
        <v>0</v>
      </c>
      <c r="R168" s="12" t="e">
        <f>#REF!</f>
        <v>#REF!</v>
      </c>
      <c r="S168" s="24" t="e">
        <f t="shared" si="45"/>
        <v>#REF!</v>
      </c>
      <c r="T168" s="6" t="e">
        <f t="shared" si="46"/>
        <v>#REF!</v>
      </c>
      <c r="U168" s="6" t="e">
        <f t="shared" si="47"/>
        <v>#REF!</v>
      </c>
      <c r="V168" s="12"/>
      <c r="W168" s="12"/>
      <c r="X168" s="12"/>
    </row>
    <row r="169" spans="3:24" x14ac:dyDescent="0.25">
      <c r="C169" s="3" t="s">
        <v>110</v>
      </c>
      <c r="D169" s="12">
        <f t="shared" ref="D169:O169" si="54">SUM(D82)-SUM(D83)</f>
        <v>0</v>
      </c>
      <c r="E169" s="12">
        <f t="shared" si="54"/>
        <v>0</v>
      </c>
      <c r="F169" s="12">
        <f t="shared" si="54"/>
        <v>0</v>
      </c>
      <c r="G169" s="12">
        <f t="shared" si="54"/>
        <v>0</v>
      </c>
      <c r="H169" s="12">
        <f t="shared" si="54"/>
        <v>0</v>
      </c>
      <c r="I169" s="12">
        <f t="shared" si="54"/>
        <v>0</v>
      </c>
      <c r="J169" s="12">
        <f t="shared" si="54"/>
        <v>0</v>
      </c>
      <c r="K169" s="12">
        <f t="shared" si="54"/>
        <v>0</v>
      </c>
      <c r="L169" s="12">
        <f t="shared" si="54"/>
        <v>0</v>
      </c>
      <c r="M169" s="12">
        <f t="shared" si="54"/>
        <v>0</v>
      </c>
      <c r="N169" s="12">
        <f t="shared" si="54"/>
        <v>0</v>
      </c>
      <c r="O169" s="21">
        <f t="shared" si="54"/>
        <v>0</v>
      </c>
      <c r="P169" s="5">
        <f t="shared" ref="P169" si="55">SUM(D169:O169)</f>
        <v>0</v>
      </c>
      <c r="Q169" s="13">
        <f t="shared" si="43"/>
        <v>0</v>
      </c>
      <c r="R169" s="12" t="e">
        <f>#REF!</f>
        <v>#REF!</v>
      </c>
      <c r="S169" s="24" t="e">
        <f t="shared" si="45"/>
        <v>#REF!</v>
      </c>
      <c r="T169" s="6" t="e">
        <f t="shared" si="46"/>
        <v>#REF!</v>
      </c>
      <c r="U169" s="6" t="e">
        <f t="shared" si="47"/>
        <v>#REF!</v>
      </c>
      <c r="V169" s="12"/>
      <c r="W169" s="12"/>
      <c r="X169" s="12"/>
    </row>
    <row r="170" spans="3:24" x14ac:dyDescent="0.25">
      <c r="C170" s="3" t="s">
        <v>21</v>
      </c>
      <c r="D170" s="12">
        <f t="shared" ref="D170:O170" si="56">-SUM(D85:D97)</f>
        <v>0</v>
      </c>
      <c r="E170" s="12">
        <f t="shared" si="56"/>
        <v>0</v>
      </c>
      <c r="F170" s="12">
        <f t="shared" si="56"/>
        <v>0</v>
      </c>
      <c r="G170" s="12">
        <f t="shared" si="56"/>
        <v>0</v>
      </c>
      <c r="H170" s="12">
        <f t="shared" si="56"/>
        <v>0</v>
      </c>
      <c r="I170" s="12">
        <f t="shared" si="56"/>
        <v>0</v>
      </c>
      <c r="J170" s="12">
        <f t="shared" si="56"/>
        <v>0</v>
      </c>
      <c r="K170" s="12">
        <f t="shared" si="56"/>
        <v>0</v>
      </c>
      <c r="L170" s="12">
        <f t="shared" si="56"/>
        <v>0</v>
      </c>
      <c r="M170" s="12">
        <f t="shared" si="56"/>
        <v>0</v>
      </c>
      <c r="N170" s="12">
        <f t="shared" si="56"/>
        <v>0</v>
      </c>
      <c r="O170" s="21">
        <f t="shared" si="56"/>
        <v>0</v>
      </c>
      <c r="P170" s="5">
        <f t="shared" ref="P170" si="57">SUM(D170:O170)</f>
        <v>0</v>
      </c>
      <c r="Q170" s="13">
        <f t="shared" si="43"/>
        <v>0</v>
      </c>
      <c r="R170" s="12" t="e">
        <f>#REF!</f>
        <v>#REF!</v>
      </c>
      <c r="S170" s="24" t="e">
        <f t="shared" si="45"/>
        <v>#REF!</v>
      </c>
      <c r="T170" s="6" t="e">
        <f t="shared" si="46"/>
        <v>#REF!</v>
      </c>
      <c r="U170" s="6" t="e">
        <f t="shared" si="47"/>
        <v>#REF!</v>
      </c>
      <c r="V170" s="12"/>
      <c r="W170" s="12"/>
      <c r="X170" s="12"/>
    </row>
    <row r="171" spans="3:24" x14ac:dyDescent="0.25">
      <c r="C171" s="3" t="s">
        <v>103</v>
      </c>
      <c r="D171" s="12">
        <f t="shared" ref="D171:O171" si="58">-SUM(D99:D102)</f>
        <v>0</v>
      </c>
      <c r="E171" s="12">
        <f t="shared" si="58"/>
        <v>0</v>
      </c>
      <c r="F171" s="12">
        <f t="shared" si="58"/>
        <v>0</v>
      </c>
      <c r="G171" s="12">
        <f t="shared" si="58"/>
        <v>0</v>
      </c>
      <c r="H171" s="12">
        <f t="shared" si="58"/>
        <v>0</v>
      </c>
      <c r="I171" s="12">
        <f t="shared" si="58"/>
        <v>0</v>
      </c>
      <c r="J171" s="12">
        <f t="shared" si="58"/>
        <v>0</v>
      </c>
      <c r="K171" s="12">
        <f t="shared" si="58"/>
        <v>0</v>
      </c>
      <c r="L171" s="12">
        <f t="shared" si="58"/>
        <v>0</v>
      </c>
      <c r="M171" s="12">
        <f t="shared" si="58"/>
        <v>0</v>
      </c>
      <c r="N171" s="12">
        <f t="shared" si="58"/>
        <v>0</v>
      </c>
      <c r="O171" s="21">
        <f t="shared" si="58"/>
        <v>0</v>
      </c>
      <c r="P171" s="5">
        <f t="shared" ref="P171:P176" si="59">SUM(D171:O171)</f>
        <v>0</v>
      </c>
      <c r="Q171" s="13">
        <f t="shared" si="43"/>
        <v>0</v>
      </c>
      <c r="R171" s="12" t="e">
        <f>#REF!</f>
        <v>#REF!</v>
      </c>
      <c r="S171" s="24"/>
      <c r="T171" s="6"/>
      <c r="U171" s="6"/>
      <c r="V171" s="12"/>
      <c r="W171" s="12"/>
      <c r="X171" s="12"/>
    </row>
    <row r="172" spans="3:24" x14ac:dyDescent="0.25">
      <c r="C172" s="3" t="s">
        <v>83</v>
      </c>
      <c r="D172" s="12">
        <f>-SUM(D104:D111)</f>
        <v>0</v>
      </c>
      <c r="E172" s="12">
        <f>-SUM(E104:E111)</f>
        <v>0</v>
      </c>
      <c r="F172" s="12">
        <f t="shared" ref="F172:O172" si="60">-SUM(F104:F111)</f>
        <v>0</v>
      </c>
      <c r="G172" s="12">
        <f t="shared" si="60"/>
        <v>0</v>
      </c>
      <c r="H172" s="12">
        <f t="shared" si="60"/>
        <v>0</v>
      </c>
      <c r="I172" s="12">
        <f t="shared" si="60"/>
        <v>0</v>
      </c>
      <c r="J172" s="12">
        <f t="shared" si="60"/>
        <v>0</v>
      </c>
      <c r="K172" s="12">
        <f t="shared" si="60"/>
        <v>0</v>
      </c>
      <c r="L172" s="12">
        <f t="shared" si="60"/>
        <v>0</v>
      </c>
      <c r="M172" s="12">
        <f t="shared" si="60"/>
        <v>0</v>
      </c>
      <c r="N172" s="12">
        <f t="shared" si="60"/>
        <v>0</v>
      </c>
      <c r="O172" s="21">
        <f t="shared" si="60"/>
        <v>0</v>
      </c>
      <c r="P172" s="5">
        <f t="shared" si="59"/>
        <v>0</v>
      </c>
      <c r="Q172" s="13">
        <f t="shared" si="43"/>
        <v>0</v>
      </c>
      <c r="R172" s="12" t="e">
        <f>#REF!</f>
        <v>#REF!</v>
      </c>
      <c r="S172" s="24" t="e">
        <f t="shared" si="45"/>
        <v>#REF!</v>
      </c>
      <c r="T172" s="6" t="e">
        <f t="shared" si="46"/>
        <v>#REF!</v>
      </c>
      <c r="U172" s="6" t="e">
        <f t="shared" si="47"/>
        <v>#REF!</v>
      </c>
      <c r="V172" s="12"/>
      <c r="W172" s="12"/>
      <c r="X172" s="12"/>
    </row>
    <row r="173" spans="3:24" x14ac:dyDescent="0.25">
      <c r="C173" s="3" t="s">
        <v>2</v>
      </c>
      <c r="D173" s="12">
        <f t="shared" ref="D173:O173" si="61">-SUM(D113)</f>
        <v>0</v>
      </c>
      <c r="E173" s="12">
        <f t="shared" si="61"/>
        <v>0</v>
      </c>
      <c r="F173" s="12">
        <f t="shared" si="61"/>
        <v>0</v>
      </c>
      <c r="G173" s="12">
        <f t="shared" si="61"/>
        <v>0</v>
      </c>
      <c r="H173" s="12">
        <f t="shared" si="61"/>
        <v>0</v>
      </c>
      <c r="I173" s="12">
        <f t="shared" si="61"/>
        <v>0</v>
      </c>
      <c r="J173" s="12">
        <f t="shared" si="61"/>
        <v>0</v>
      </c>
      <c r="K173" s="12">
        <f t="shared" si="61"/>
        <v>0</v>
      </c>
      <c r="L173" s="12">
        <f t="shared" si="61"/>
        <v>0</v>
      </c>
      <c r="M173" s="12">
        <f t="shared" si="61"/>
        <v>0</v>
      </c>
      <c r="N173" s="12">
        <f t="shared" si="61"/>
        <v>0</v>
      </c>
      <c r="O173" s="21">
        <f t="shared" si="61"/>
        <v>0</v>
      </c>
      <c r="P173" s="5">
        <f t="shared" si="59"/>
        <v>0</v>
      </c>
      <c r="Q173" s="13">
        <f t="shared" si="43"/>
        <v>0</v>
      </c>
      <c r="R173" s="12" t="e">
        <f>#REF!</f>
        <v>#REF!</v>
      </c>
      <c r="S173" s="24" t="e">
        <f t="shared" si="45"/>
        <v>#REF!</v>
      </c>
      <c r="T173" s="6" t="e">
        <f t="shared" si="46"/>
        <v>#REF!</v>
      </c>
      <c r="U173" s="6" t="e">
        <f t="shared" si="47"/>
        <v>#REF!</v>
      </c>
      <c r="V173" s="12"/>
      <c r="W173" s="12"/>
      <c r="X173" s="12"/>
    </row>
    <row r="174" spans="3:24" x14ac:dyDescent="0.25">
      <c r="C174" s="3" t="s">
        <v>18</v>
      </c>
      <c r="D174" s="12">
        <f t="shared" ref="D174:O174" si="62">-SUM(D115:D132)</f>
        <v>0</v>
      </c>
      <c r="E174" s="12">
        <f t="shared" si="62"/>
        <v>0</v>
      </c>
      <c r="F174" s="12">
        <f t="shared" si="62"/>
        <v>0</v>
      </c>
      <c r="G174" s="12">
        <f t="shared" si="62"/>
        <v>0</v>
      </c>
      <c r="H174" s="12">
        <f t="shared" si="62"/>
        <v>0</v>
      </c>
      <c r="I174" s="12">
        <f t="shared" si="62"/>
        <v>0</v>
      </c>
      <c r="J174" s="12">
        <f t="shared" si="62"/>
        <v>0</v>
      </c>
      <c r="K174" s="12">
        <f t="shared" si="62"/>
        <v>0</v>
      </c>
      <c r="L174" s="12">
        <f t="shared" si="62"/>
        <v>0</v>
      </c>
      <c r="M174" s="12">
        <f t="shared" si="62"/>
        <v>0</v>
      </c>
      <c r="N174" s="12">
        <f t="shared" si="62"/>
        <v>0</v>
      </c>
      <c r="O174" s="21">
        <f t="shared" si="62"/>
        <v>0</v>
      </c>
      <c r="P174" s="5">
        <f t="shared" si="59"/>
        <v>0</v>
      </c>
      <c r="Q174" s="13">
        <f t="shared" si="43"/>
        <v>0</v>
      </c>
      <c r="R174" s="12" t="e">
        <f>#REF!</f>
        <v>#REF!</v>
      </c>
      <c r="S174" s="24" t="e">
        <f t="shared" si="45"/>
        <v>#REF!</v>
      </c>
      <c r="T174" s="6" t="e">
        <f t="shared" si="46"/>
        <v>#REF!</v>
      </c>
      <c r="U174" s="6" t="e">
        <f t="shared" si="47"/>
        <v>#REF!</v>
      </c>
      <c r="V174" s="12"/>
      <c r="W174" s="12"/>
      <c r="X174" s="12"/>
    </row>
    <row r="175" spans="3:24" x14ac:dyDescent="0.25">
      <c r="C175" s="3" t="s">
        <v>3</v>
      </c>
      <c r="D175" s="12">
        <f t="shared" ref="D175:O175" si="63">-SUM(D134:D135)</f>
        <v>0</v>
      </c>
      <c r="E175" s="12">
        <f t="shared" si="63"/>
        <v>0</v>
      </c>
      <c r="F175" s="12">
        <f t="shared" si="63"/>
        <v>0</v>
      </c>
      <c r="G175" s="12">
        <f t="shared" si="63"/>
        <v>0</v>
      </c>
      <c r="H175" s="12">
        <f t="shared" si="63"/>
        <v>0</v>
      </c>
      <c r="I175" s="12">
        <f t="shared" si="63"/>
        <v>0</v>
      </c>
      <c r="J175" s="12">
        <f t="shared" si="63"/>
        <v>0</v>
      </c>
      <c r="K175" s="12">
        <f t="shared" si="63"/>
        <v>0</v>
      </c>
      <c r="L175" s="12">
        <f t="shared" si="63"/>
        <v>0</v>
      </c>
      <c r="M175" s="12">
        <f t="shared" si="63"/>
        <v>0</v>
      </c>
      <c r="N175" s="12">
        <f t="shared" si="63"/>
        <v>0</v>
      </c>
      <c r="O175" s="21">
        <f t="shared" si="63"/>
        <v>0</v>
      </c>
      <c r="P175" s="5">
        <f t="shared" si="59"/>
        <v>0</v>
      </c>
      <c r="Q175" s="13">
        <f t="shared" si="43"/>
        <v>0</v>
      </c>
      <c r="R175" s="12" t="e">
        <f>#REF!</f>
        <v>#REF!</v>
      </c>
      <c r="S175" s="24" t="e">
        <f t="shared" si="45"/>
        <v>#REF!</v>
      </c>
      <c r="T175" s="6" t="e">
        <f t="shared" si="46"/>
        <v>#REF!</v>
      </c>
      <c r="U175" s="6" t="e">
        <f t="shared" si="47"/>
        <v>#REF!</v>
      </c>
      <c r="V175" s="12"/>
      <c r="W175" s="12"/>
      <c r="X175" s="12"/>
    </row>
    <row r="176" spans="3:24" x14ac:dyDescent="0.25">
      <c r="C176" s="3" t="s">
        <v>17</v>
      </c>
      <c r="D176" s="12">
        <f t="shared" ref="D176:O176" si="64">-SUM(D137:D149)</f>
        <v>0</v>
      </c>
      <c r="E176" s="12">
        <f>-SUM(E137:E149)</f>
        <v>0</v>
      </c>
      <c r="F176" s="12">
        <f t="shared" si="64"/>
        <v>0</v>
      </c>
      <c r="G176" s="12">
        <f t="shared" si="64"/>
        <v>0</v>
      </c>
      <c r="H176" s="12">
        <f t="shared" si="64"/>
        <v>0</v>
      </c>
      <c r="I176" s="12">
        <f t="shared" si="64"/>
        <v>0</v>
      </c>
      <c r="J176" s="12">
        <f t="shared" si="64"/>
        <v>0</v>
      </c>
      <c r="K176" s="12">
        <f t="shared" si="64"/>
        <v>0</v>
      </c>
      <c r="L176" s="12">
        <f t="shared" si="64"/>
        <v>0</v>
      </c>
      <c r="M176" s="12">
        <f t="shared" si="64"/>
        <v>0</v>
      </c>
      <c r="N176" s="12">
        <f t="shared" si="64"/>
        <v>0</v>
      </c>
      <c r="O176" s="21">
        <f t="shared" si="64"/>
        <v>0</v>
      </c>
      <c r="P176" s="5">
        <f t="shared" si="59"/>
        <v>0</v>
      </c>
      <c r="Q176" s="13">
        <f t="shared" si="43"/>
        <v>0</v>
      </c>
      <c r="R176" s="12" t="e">
        <f>#REF!</f>
        <v>#REF!</v>
      </c>
      <c r="S176" s="24" t="e">
        <f t="shared" si="45"/>
        <v>#REF!</v>
      </c>
      <c r="T176" s="6" t="e">
        <f t="shared" si="46"/>
        <v>#REF!</v>
      </c>
      <c r="U176" s="6" t="e">
        <f t="shared" si="47"/>
        <v>#REF!</v>
      </c>
      <c r="V176" s="12"/>
      <c r="W176" s="12"/>
      <c r="X176" s="12"/>
    </row>
    <row r="177" spans="3:24" x14ac:dyDescent="0.25">
      <c r="C177" s="3" t="s">
        <v>40</v>
      </c>
      <c r="D177" s="10">
        <f t="shared" ref="D177:O177" si="65">SUM(D161:D176)</f>
        <v>0</v>
      </c>
      <c r="E177" s="10">
        <f>SUM(E161:E176)</f>
        <v>0</v>
      </c>
      <c r="F177" s="10">
        <f>SUM(F161:F176)</f>
        <v>0</v>
      </c>
      <c r="G177" s="10">
        <f t="shared" si="65"/>
        <v>0</v>
      </c>
      <c r="H177" s="10">
        <f t="shared" si="65"/>
        <v>0</v>
      </c>
      <c r="I177" s="10">
        <f t="shared" si="65"/>
        <v>0</v>
      </c>
      <c r="J177" s="10">
        <f t="shared" si="65"/>
        <v>0</v>
      </c>
      <c r="K177" s="10">
        <f t="shared" si="65"/>
        <v>0</v>
      </c>
      <c r="L177" s="10">
        <f t="shared" si="65"/>
        <v>0</v>
      </c>
      <c r="M177" s="10">
        <f t="shared" si="65"/>
        <v>0</v>
      </c>
      <c r="N177" s="10">
        <f t="shared" si="65"/>
        <v>0</v>
      </c>
      <c r="O177" s="15">
        <f t="shared" si="65"/>
        <v>0</v>
      </c>
      <c r="P177" s="10">
        <f t="shared" si="42"/>
        <v>0</v>
      </c>
      <c r="Q177" s="27">
        <f t="shared" si="43"/>
        <v>0</v>
      </c>
      <c r="R177" s="12" t="e">
        <f>#REF!</f>
        <v>#REF!</v>
      </c>
      <c r="S177" s="29" t="e">
        <f t="shared" si="45"/>
        <v>#REF!</v>
      </c>
      <c r="T177" s="28" t="e">
        <f t="shared" si="46"/>
        <v>#REF!</v>
      </c>
      <c r="U177" s="28" t="e">
        <f t="shared" si="47"/>
        <v>#REF!</v>
      </c>
      <c r="V177" s="12"/>
      <c r="W177" s="12"/>
      <c r="X177" s="12"/>
    </row>
    <row r="182" spans="3:24" x14ac:dyDescent="0.25">
      <c r="J182" s="10"/>
    </row>
  </sheetData>
  <mergeCells count="1">
    <mergeCell ref="R159:U159"/>
  </mergeCells>
  <conditionalFormatting sqref="D161:O161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{60C38B7E-1671-44FF-8DCB-A1D056D48856}</x14:id>
        </ext>
      </extLst>
    </cfRule>
  </conditionalFormatting>
  <conditionalFormatting sqref="D162:O162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{5BDA4212-53F6-4381-8CE0-32E0BDEB5E09}</x14:id>
        </ext>
      </extLst>
    </cfRule>
  </conditionalFormatting>
  <conditionalFormatting sqref="D163:O16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{4D98A321-F743-4BB8-96D3-7124BBF16A71}</x14:id>
        </ext>
      </extLst>
    </cfRule>
  </conditionalFormatting>
  <conditionalFormatting sqref="D164:O16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{25D7D617-CDE7-4D7A-A346-D581A7AA06FE}</x14:id>
        </ext>
      </extLst>
    </cfRule>
  </conditionalFormatting>
  <conditionalFormatting sqref="D165:O16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{81725897-6AB3-408D-A3AC-BD3A611E7D3E}</x14:id>
        </ext>
      </extLst>
    </cfRule>
  </conditionalFormatting>
  <conditionalFormatting sqref="D166:O1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{12DC33F3-FC10-4938-811F-81858A50C02E}</x14:id>
        </ext>
      </extLst>
    </cfRule>
  </conditionalFormatting>
  <conditionalFormatting sqref="D167:O167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{7368A105-1E22-4223-9C4C-1929201F2AB2}</x14:id>
        </ext>
      </extLst>
    </cfRule>
  </conditionalFormatting>
  <conditionalFormatting sqref="D168:O169">
    <cfRule type="dataBar" priority="8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{E46EBC6A-561B-4A06-A077-7C9243AF3597}</x14:id>
        </ext>
      </extLst>
    </cfRule>
  </conditionalFormatting>
  <conditionalFormatting sqref="D169:O169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{CE5FC6F7-0F03-4224-BE3F-EDBF9225365C}</x14:id>
        </ext>
      </extLst>
    </cfRule>
  </conditionalFormatting>
  <conditionalFormatting sqref="D170:O170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{6DB2E6D5-8704-4253-85BD-5B43CC86C9B3}</x14:id>
        </ext>
      </extLst>
    </cfRule>
  </conditionalFormatting>
  <conditionalFormatting sqref="D171:O171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{65B41A18-8880-4914-8644-830550678705}</x14:id>
        </ext>
      </extLst>
    </cfRule>
  </conditionalFormatting>
  <conditionalFormatting sqref="D172:O172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{EE34BC2B-7C48-4048-87E4-A7254A8F3AC6}</x14:id>
        </ext>
      </extLst>
    </cfRule>
  </conditionalFormatting>
  <conditionalFormatting sqref="D173:O17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{4710003C-6050-44A7-A88C-C6989895F0BA}</x14:id>
        </ext>
      </extLst>
    </cfRule>
  </conditionalFormatting>
  <conditionalFormatting sqref="D174:O174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{628F1D08-E162-4A60-A48F-620AE4ED4586}</x14:id>
        </ext>
      </extLst>
    </cfRule>
  </conditionalFormatting>
  <conditionalFormatting sqref="D175:O17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{6C5CA9A9-0DCC-4335-946F-B13953813506}</x14:id>
        </ext>
      </extLst>
    </cfRule>
  </conditionalFormatting>
  <conditionalFormatting sqref="D176:O17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{859C1493-FD47-41C3-ADCF-0246B3F412BD}</x14:id>
        </ext>
      </extLst>
    </cfRule>
  </conditionalFormatting>
  <conditionalFormatting sqref="D177:O177">
    <cfRule type="cellIs" dxfId="15" priority="4" operator="greaterThan">
      <formula>0</formula>
    </cfRule>
    <cfRule type="cellIs" dxfId="14" priority="5" operator="lessThan">
      <formula>0</formula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{69B5DC40-347A-410A-8CC4-4874EF90DFCB}</x14:id>
        </ext>
      </extLst>
    </cfRule>
  </conditionalFormatting>
  <conditionalFormatting sqref="J182">
    <cfRule type="cellIs" dxfId="13" priority="1" operator="greaterThan">
      <formula>0</formula>
    </cfRule>
    <cfRule type="cellIs" dxfId="12" priority="2" operator="lessThan">
      <formula>0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{8FF6BE5C-9064-4F72-9E7A-FA001CF7D83A}</x14:id>
        </ext>
      </extLst>
    </cfRule>
  </conditionalFormatting>
  <conditionalFormatting sqref="S3:S12">
    <cfRule type="cellIs" dxfId="11" priority="18" operator="greaterThanOrEqual">
      <formula>0</formula>
    </cfRule>
    <cfRule type="cellIs" dxfId="10" priority="19" operator="lessThan">
      <formula>0</formula>
    </cfRule>
  </conditionalFormatting>
  <conditionalFormatting sqref="S162:S176">
    <cfRule type="cellIs" dxfId="9" priority="12" operator="greaterThanOrEqual">
      <formula>0</formula>
    </cfRule>
    <cfRule type="cellIs" dxfId="8" priority="13" operator="lessThan">
      <formula>0</formula>
    </cfRule>
  </conditionalFormatting>
  <conditionalFormatting sqref="S161:U161">
    <cfRule type="cellIs" dxfId="7" priority="53" operator="greaterThanOrEqual">
      <formula>0</formula>
    </cfRule>
    <cfRule type="cellIs" dxfId="6" priority="54" operator="lessThan">
      <formula>0</formula>
    </cfRule>
  </conditionalFormatting>
  <conditionalFormatting sqref="S177:U177">
    <cfRule type="cellIs" dxfId="5" priority="51" operator="greaterThanOrEqual">
      <formula>0</formula>
    </cfRule>
    <cfRule type="cellIs" dxfId="4" priority="52" operator="lessThan">
      <formula>0</formula>
    </cfRule>
  </conditionalFormatting>
  <conditionalFormatting sqref="T3:T6 T12">
    <cfRule type="colorScale" priority="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:T1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9">
    <cfRule type="colorScale" priority="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2:T176 T162:T168 T170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U12">
    <cfRule type="cellIs" dxfId="3" priority="61" operator="lessThan">
      <formula>0</formula>
    </cfRule>
    <cfRule type="cellIs" dxfId="2" priority="62" operator="greaterThanOrEqual">
      <formula>0</formula>
    </cfRule>
  </conditionalFormatting>
  <conditionalFormatting sqref="T162:U176">
    <cfRule type="cellIs" dxfId="1" priority="22" operator="lessThan">
      <formula>0</formula>
    </cfRule>
    <cfRule type="cellIs" dxfId="0" priority="23" operator="greaterThanOrEqual">
      <formula>0</formula>
    </cfRule>
  </conditionalFormatting>
  <conditionalFormatting sqref="U3:U6 U12">
    <cfRule type="colorScale" priority="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:U11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9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2:U176 U162:U168 U170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40157499999996" right="0.78740157499999996" top="0.984251969" bottom="0.984251969" header="0.4921259845" footer="0.4921259845"/>
  <pageSetup paperSize="9" orientation="portrait" horizontalDpi="4294967293" vertic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C38B7E-1671-44FF-8DCB-A1D056D488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D161:O161</xm:sqref>
        </x14:conditionalFormatting>
        <x14:conditionalFormatting xmlns:xm="http://schemas.microsoft.com/office/excel/2006/main">
          <x14:cfRule type="dataBar" id="{5BDA4212-53F6-4381-8CE0-32E0BDEB5E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D162:O162</xm:sqref>
        </x14:conditionalFormatting>
        <x14:conditionalFormatting xmlns:xm="http://schemas.microsoft.com/office/excel/2006/main">
          <x14:cfRule type="dataBar" id="{4D98A321-F743-4BB8-96D3-7124BBF16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D163:O163</xm:sqref>
        </x14:conditionalFormatting>
        <x14:conditionalFormatting xmlns:xm="http://schemas.microsoft.com/office/excel/2006/main">
          <x14:cfRule type="dataBar" id="{25D7D617-CDE7-4D7A-A346-D581A7AA0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D164:O164</xm:sqref>
        </x14:conditionalFormatting>
        <x14:conditionalFormatting xmlns:xm="http://schemas.microsoft.com/office/excel/2006/main">
          <x14:cfRule type="dataBar" id="{81725897-6AB3-408D-A3AC-BD3A611E7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D165:O165</xm:sqref>
        </x14:conditionalFormatting>
        <x14:conditionalFormatting xmlns:xm="http://schemas.microsoft.com/office/excel/2006/main">
          <x14:cfRule type="dataBar" id="{12DC33F3-FC10-4938-811F-81858A50C0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D166:O166</xm:sqref>
        </x14:conditionalFormatting>
        <x14:conditionalFormatting xmlns:xm="http://schemas.microsoft.com/office/excel/2006/main">
          <x14:cfRule type="dataBar" id="{7368A105-1E22-4223-9C4C-1929201F2A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D167:O167</xm:sqref>
        </x14:conditionalFormatting>
        <x14:conditionalFormatting xmlns:xm="http://schemas.microsoft.com/office/excel/2006/main">
          <x14:cfRule type="dataBar" id="{E46EBC6A-561B-4A06-A077-7C9243AF3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D168:O169</xm:sqref>
        </x14:conditionalFormatting>
        <x14:conditionalFormatting xmlns:xm="http://schemas.microsoft.com/office/excel/2006/main">
          <x14:cfRule type="dataBar" id="{CE5FC6F7-0F03-4224-BE3F-EDBF922536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D169:O169</xm:sqref>
        </x14:conditionalFormatting>
        <x14:conditionalFormatting xmlns:xm="http://schemas.microsoft.com/office/excel/2006/main">
          <x14:cfRule type="dataBar" id="{6DB2E6D5-8704-4253-85BD-5B43CC86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D170:O170</xm:sqref>
        </x14:conditionalFormatting>
        <x14:conditionalFormatting xmlns:xm="http://schemas.microsoft.com/office/excel/2006/main">
          <x14:cfRule type="dataBar" id="{65B41A18-8880-4914-8644-8305506787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D171:O171</xm:sqref>
        </x14:conditionalFormatting>
        <x14:conditionalFormatting xmlns:xm="http://schemas.microsoft.com/office/excel/2006/main">
          <x14:cfRule type="dataBar" id="{EE34BC2B-7C48-4048-87E4-A7254A8F3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D172:O172</xm:sqref>
        </x14:conditionalFormatting>
        <x14:conditionalFormatting xmlns:xm="http://schemas.microsoft.com/office/excel/2006/main">
          <x14:cfRule type="dataBar" id="{4710003C-6050-44A7-A88C-C6989895F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D173:O173</xm:sqref>
        </x14:conditionalFormatting>
        <x14:conditionalFormatting xmlns:xm="http://schemas.microsoft.com/office/excel/2006/main">
          <x14:cfRule type="dataBar" id="{628F1D08-E162-4A60-A48F-620AE4ED45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D174:O174</xm:sqref>
        </x14:conditionalFormatting>
        <x14:conditionalFormatting xmlns:xm="http://schemas.microsoft.com/office/excel/2006/main">
          <x14:cfRule type="dataBar" id="{6C5CA9A9-0DCC-4335-946F-B139538135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D175:O175</xm:sqref>
        </x14:conditionalFormatting>
        <x14:conditionalFormatting xmlns:xm="http://schemas.microsoft.com/office/excel/2006/main">
          <x14:cfRule type="dataBar" id="{859C1493-FD47-41C3-ADCF-0246B3F41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D176:O176</xm:sqref>
        </x14:conditionalFormatting>
        <x14:conditionalFormatting xmlns:xm="http://schemas.microsoft.com/office/excel/2006/main">
          <x14:cfRule type="dataBar" id="{69B5DC40-347A-410A-8CC4-4874EF90D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D177:O177</xm:sqref>
        </x14:conditionalFormatting>
        <x14:conditionalFormatting xmlns:xm="http://schemas.microsoft.com/office/excel/2006/main">
          <x14:cfRule type="dataBar" id="{8FF6BE5C-9064-4F72-9E7A-FA001CF7D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Wiederkehr</dc:creator>
  <cp:lastModifiedBy>Wiederkehr, T. (Torsten)</cp:lastModifiedBy>
  <cp:lastPrinted>2026-03-01T05:38:45Z</cp:lastPrinted>
  <dcterms:created xsi:type="dcterms:W3CDTF">2002-03-04T20:50:27Z</dcterms:created>
  <dcterms:modified xsi:type="dcterms:W3CDTF">2026-03-13T04:24:36Z</dcterms:modified>
</cp:coreProperties>
</file>